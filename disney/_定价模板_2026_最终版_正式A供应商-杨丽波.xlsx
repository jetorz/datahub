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LC\Desktop\准时达\报价\"/>
    </mc:Choice>
  </mc:AlternateContent>
  <xr:revisionPtr revIDLastSave="0" documentId="13_ncr:1_{8CABCF54-937B-48CD-9585-C4754C661DC4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整车装载能力" sheetId="1" r:id="rId1"/>
    <sheet name="整车费率" sheetId="2" r:id="rId2"/>
    <sheet name="零担费率" sheetId="3" r:id="rId3"/>
    <sheet name="Sheet1" sheetId="5" r:id="rId4"/>
  </sheets>
  <definedNames>
    <definedName name="_xlnm._FilterDatabase" localSheetId="2" hidden="1">零担费率!$A$10:$XES$62</definedName>
    <definedName name="_xlnm._FilterDatabase" localSheetId="1" hidden="1">整车费率!$B$10:$Q$415</definedName>
    <definedName name="airvendorbuy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5" i="2" l="1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L191" i="2" s="1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L175" i="2" s="1"/>
  <c r="I174" i="2"/>
  <c r="L174" i="2" s="1"/>
  <c r="I173" i="2"/>
  <c r="L173" i="2" s="1"/>
  <c r="I172" i="2"/>
  <c r="L172" i="2" s="1"/>
  <c r="I171" i="2"/>
  <c r="L171" i="2" s="1"/>
  <c r="I170" i="2"/>
  <c r="L170" i="2" s="1"/>
  <c r="I169" i="2"/>
  <c r="L169" i="2" s="1"/>
  <c r="I168" i="2"/>
  <c r="L168" i="2" s="1"/>
  <c r="I167" i="2"/>
  <c r="L167" i="2" s="1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L261" i="2" l="1"/>
  <c r="L239" i="2"/>
  <c r="L271" i="2"/>
  <c r="L255" i="2"/>
</calcChain>
</file>

<file path=xl/sharedStrings.xml><?xml version="1.0" encoding="utf-8"?>
<sst xmlns="http://schemas.openxmlformats.org/spreadsheetml/2006/main" count="3100" uniqueCount="635">
  <si>
    <t>装载能力</t>
  </si>
  <si>
    <t>干货与危险品卡车</t>
  </si>
  <si>
    <t>设备类型</t>
  </si>
  <si>
    <t>实际装载能力</t>
  </si>
  <si>
    <t>3T</t>
  </si>
  <si>
    <t>5T</t>
  </si>
  <si>
    <t>8T</t>
  </si>
  <si>
    <t>10T</t>
  </si>
  <si>
    <t>12T</t>
  </si>
  <si>
    <t>15T</t>
  </si>
  <si>
    <t>25T</t>
  </si>
  <si>
    <t>26T</t>
  </si>
  <si>
    <t>30T</t>
  </si>
  <si>
    <t>20尺集装箱</t>
  </si>
  <si>
    <t>40尺集装箱</t>
  </si>
  <si>
    <t>40尺高柜集装箱</t>
  </si>
  <si>
    <r>
      <rPr>
        <sz val="16"/>
        <color rgb="FFC00000"/>
        <rFont val="宋体"/>
        <charset val="134"/>
      </rPr>
      <t>整车费率</t>
    </r>
  </si>
  <si>
    <r>
      <rPr>
        <sz val="11"/>
        <rFont val="宋体"/>
        <charset val="134"/>
      </rPr>
      <t>费率由运输部（</t>
    </r>
    <r>
      <rPr>
        <sz val="11"/>
        <rFont val="Arial"/>
        <family val="2"/>
      </rPr>
      <t>MOT</t>
    </r>
    <r>
      <rPr>
        <sz val="11"/>
        <rFont val="宋体"/>
        <charset val="134"/>
      </rPr>
      <t>）审定。所报费率不得以捆绑中标为条件。</t>
    </r>
  </si>
  <si>
    <r>
      <rPr>
        <u/>
        <sz val="11"/>
        <color rgb="FFC00000"/>
        <rFont val="宋体"/>
        <charset val="134"/>
      </rPr>
      <t>目的地</t>
    </r>
  </si>
  <si>
    <r>
      <t>SHDR DC1</t>
    </r>
    <r>
      <rPr>
        <sz val="11"/>
        <color theme="1"/>
        <rFont val="宋体"/>
        <charset val="134"/>
      </rPr>
      <t>（主配送中心）：上海临港新城普洛斯临港物流园洋浩路</t>
    </r>
    <r>
      <rPr>
        <sz val="11"/>
        <color theme="1"/>
        <rFont val="Arial"/>
        <family val="2"/>
      </rPr>
      <t>575</t>
    </r>
    <r>
      <rPr>
        <sz val="11"/>
        <color theme="1"/>
        <rFont val="宋体"/>
        <charset val="134"/>
      </rPr>
      <t>号，中国上海市浦东新区</t>
    </r>
  </si>
  <si>
    <r>
      <rPr>
        <sz val="11"/>
        <color theme="1"/>
        <rFont val="Arial"/>
        <family val="2"/>
      </rPr>
      <t xml:space="preserve">TDSC </t>
    </r>
    <r>
      <rPr>
        <sz val="11"/>
        <color theme="1"/>
        <rFont val="宋体"/>
        <charset val="134"/>
      </rPr>
      <t>配送中心：上海市奉贤区航塘公路</t>
    </r>
    <r>
      <rPr>
        <sz val="11"/>
        <color theme="1"/>
        <rFont val="Arial"/>
        <family val="2"/>
      </rPr>
      <t>3088</t>
    </r>
    <r>
      <rPr>
        <sz val="11"/>
        <color theme="1"/>
        <rFont val="宋体"/>
        <charset val="134"/>
      </rPr>
      <t>号</t>
    </r>
    <r>
      <rPr>
        <sz val="11"/>
        <color theme="1"/>
        <rFont val="Arial"/>
        <family val="2"/>
      </rPr>
      <t>C</t>
    </r>
    <r>
      <rPr>
        <sz val="11"/>
        <color theme="1"/>
        <rFont val="宋体"/>
        <charset val="134"/>
      </rPr>
      <t>栋</t>
    </r>
    <r>
      <rPr>
        <sz val="11"/>
        <color theme="1"/>
        <rFont val="Arial"/>
        <family val="2"/>
      </rPr>
      <t>3</t>
    </r>
    <r>
      <rPr>
        <sz val="11"/>
        <color theme="1"/>
        <rFont val="宋体"/>
        <charset val="134"/>
      </rPr>
      <t>楼迪士尼商店仓库，开瑞益上海配送中心</t>
    </r>
    <r>
      <rPr>
        <sz val="11"/>
        <color theme="1"/>
        <rFont val="Arial"/>
        <family val="2"/>
      </rPr>
      <t>C3</t>
    </r>
    <r>
      <rPr>
        <sz val="11"/>
        <color theme="1"/>
        <rFont val="宋体"/>
        <charset val="134"/>
      </rPr>
      <t>，上海市奉贤区航塘公路</t>
    </r>
    <r>
      <rPr>
        <sz val="11"/>
        <color theme="1"/>
        <rFont val="Arial"/>
        <family val="2"/>
      </rPr>
      <t>3088</t>
    </r>
    <r>
      <rPr>
        <sz val="11"/>
        <color theme="1"/>
        <rFont val="宋体"/>
        <charset val="134"/>
      </rPr>
      <t>号</t>
    </r>
  </si>
  <si>
    <r>
      <rPr>
        <sz val="11"/>
        <color rgb="FFFF0000"/>
        <rFont val="宋体"/>
        <charset val="134"/>
      </rPr>
      <t>币种：人民币</t>
    </r>
  </si>
  <si>
    <r>
      <rPr>
        <b/>
        <sz val="11"/>
        <color rgb="FFFF0000"/>
        <rFont val="宋体"/>
        <charset val="134"/>
      </rPr>
      <t>不含增值税</t>
    </r>
  </si>
  <si>
    <t>SHDR DC1/TDSC DC</t>
  </si>
  <si>
    <r>
      <rPr>
        <b/>
        <sz val="11"/>
        <color rgb="FFFFFFFF"/>
        <rFont val="宋体"/>
        <charset val="134"/>
      </rPr>
      <t>出发省份</t>
    </r>
  </si>
  <si>
    <r>
      <rPr>
        <b/>
        <sz val="11"/>
        <color rgb="FFFFFFFF"/>
        <rFont val="宋体"/>
        <charset val="134"/>
      </rPr>
      <t>出发城市</t>
    </r>
  </si>
  <si>
    <r>
      <rPr>
        <b/>
        <sz val="11"/>
        <color rgb="FFFFFFFF"/>
        <rFont val="宋体"/>
        <charset val="134"/>
      </rPr>
      <t>车型</t>
    </r>
  </si>
  <si>
    <r>
      <rPr>
        <b/>
        <sz val="11"/>
        <color rgb="FFFFFFFF"/>
        <rFont val="宋体"/>
        <charset val="134"/>
      </rPr>
      <t>温度类型</t>
    </r>
  </si>
  <si>
    <r>
      <rPr>
        <b/>
        <sz val="11"/>
        <color rgb="FFFFFFFF"/>
        <rFont val="宋体"/>
        <charset val="134"/>
      </rPr>
      <t>运输天数（不含提货日）</t>
    </r>
  </si>
  <si>
    <r>
      <rPr>
        <b/>
        <sz val="11"/>
        <color rgb="FFFFFFFF"/>
        <rFont val="宋体"/>
        <charset val="134"/>
      </rPr>
      <t>费率（人民币）不含增值税</t>
    </r>
  </si>
  <si>
    <r>
      <rPr>
        <b/>
        <sz val="11"/>
        <color theme="0"/>
        <rFont val="宋体"/>
        <charset val="134"/>
      </rPr>
      <t>附加费说明</t>
    </r>
  </si>
  <si>
    <r>
      <rPr>
        <b/>
        <sz val="11"/>
        <color theme="0"/>
        <rFont val="宋体"/>
        <charset val="134"/>
      </rPr>
      <t>每次附加费（人民币）</t>
    </r>
  </si>
  <si>
    <r>
      <rPr>
        <sz val="11"/>
        <rFont val="宋体"/>
        <charset val="134"/>
      </rPr>
      <t>安徽</t>
    </r>
  </si>
  <si>
    <r>
      <rPr>
        <sz val="11"/>
        <rFont val="宋体"/>
        <charset val="134"/>
      </rPr>
      <t>巢湖</t>
    </r>
  </si>
  <si>
    <r>
      <rPr>
        <sz val="11"/>
        <color theme="1"/>
        <rFont val="宋体"/>
        <charset val="134"/>
      </rPr>
      <t>干货</t>
    </r>
  </si>
  <si>
    <t>DRY</t>
  </si>
  <si>
    <t>AnhuiChaohu10TDRY</t>
  </si>
  <si>
    <r>
      <rPr>
        <sz val="11"/>
        <color theme="1"/>
        <rFont val="宋体"/>
        <charset val="134"/>
      </rPr>
      <t>停车费（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</si>
  <si>
    <t>AnhuiChaohu12TDRY</t>
  </si>
  <si>
    <r>
      <rPr>
        <sz val="11"/>
        <color theme="1"/>
        <rFont val="宋体"/>
        <charset val="134"/>
      </rPr>
      <t>理货费（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family val="2"/>
      </rPr>
      <t>*</t>
    </r>
  </si>
  <si>
    <t>AnhuiChaohu15TDRY</t>
  </si>
  <si>
    <r>
      <rPr>
        <sz val="11"/>
        <color theme="1"/>
        <rFont val="宋体"/>
        <charset val="134"/>
      </rPr>
      <t>危险品费（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</si>
  <si>
    <t>AnhuiChaohu26TDRY</t>
  </si>
  <si>
    <r>
      <rPr>
        <sz val="11"/>
        <color theme="1"/>
        <rFont val="宋体"/>
        <charset val="134"/>
      </rPr>
      <t>空驶费（已派车未使用）（</t>
    </r>
    <r>
      <rPr>
        <sz val="11"/>
        <color theme="1"/>
        <rFont val="Arial"/>
        <family val="2"/>
      </rPr>
      <t>¥</t>
    </r>
    <r>
      <rPr>
        <sz val="11"/>
        <color theme="1"/>
        <rFont val="宋体"/>
        <charset val="134"/>
      </rPr>
      <t>）</t>
    </r>
  </si>
  <si>
    <t>AnhuiChaohu3TDRY</t>
  </si>
  <si>
    <t>AnhuiChaohu5TDRY</t>
  </si>
  <si>
    <t>AnhuiChaohu8TDRY</t>
  </si>
  <si>
    <r>
      <rPr>
        <sz val="11"/>
        <rFont val="Arial"/>
        <family val="2"/>
      </rPr>
      <t>40</t>
    </r>
    <r>
      <rPr>
        <sz val="11"/>
        <rFont val="宋体"/>
        <charset val="134"/>
      </rPr>
      <t>尺高柜</t>
    </r>
  </si>
  <si>
    <r>
      <rPr>
        <sz val="11"/>
        <color theme="1"/>
        <rFont val="宋体"/>
        <charset val="134"/>
      </rPr>
      <t>干货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宋体"/>
        <charset val="134"/>
      </rPr>
      <t>自备箱</t>
    </r>
  </si>
  <si>
    <t>40'HQ</t>
  </si>
  <si>
    <t>DRY - SOC</t>
  </si>
  <si>
    <t>AnhuiChaohu40'HQDRY - SOC</t>
  </si>
  <si>
    <r>
      <rPr>
        <sz val="11"/>
        <rFont val="宋体"/>
        <charset val="134"/>
      </rPr>
      <t>天长</t>
    </r>
  </si>
  <si>
    <t>AnhuiTianchang10TDRY</t>
  </si>
  <si>
    <t>AnhuiTianchang12TDRY</t>
  </si>
  <si>
    <t>AnhuiTianchang15TDRY</t>
  </si>
  <si>
    <t>AnhuiTianchang25TDRY</t>
  </si>
  <si>
    <t>AnhuiTianchang26TDRY</t>
  </si>
  <si>
    <t>AnhuiTianchang3TDRY</t>
  </si>
  <si>
    <t>AnhuiTianchang5TDRY</t>
  </si>
  <si>
    <t>AnhuiTianchang8TDRY</t>
  </si>
  <si>
    <t>AnhuiTianchang40'HQDRY - SOC</t>
  </si>
  <si>
    <r>
      <rPr>
        <sz val="11"/>
        <rFont val="宋体"/>
        <charset val="134"/>
      </rPr>
      <t>宣城</t>
    </r>
  </si>
  <si>
    <t>AnhuiXuancheng26TDRY</t>
  </si>
  <si>
    <t>AnhuiXuancheng3TDRY</t>
  </si>
  <si>
    <t>AnhuiXuancheng5TDRY</t>
  </si>
  <si>
    <t>AnhuiXuancheng8TDRY</t>
  </si>
  <si>
    <r>
      <rPr>
        <sz val="11"/>
        <rFont val="宋体"/>
        <charset val="134"/>
      </rPr>
      <t>福建</t>
    </r>
  </si>
  <si>
    <r>
      <rPr>
        <sz val="11"/>
        <rFont val="宋体"/>
        <charset val="134"/>
      </rPr>
      <t>泉州</t>
    </r>
  </si>
  <si>
    <t>FujianQuanzhou10TDRY</t>
  </si>
  <si>
    <t>FujianQuanzhou15TDRY</t>
  </si>
  <si>
    <t>FujianQuanzhou25TDRY</t>
  </si>
  <si>
    <t>FujianQuanzhou26TDRY</t>
  </si>
  <si>
    <t>FujianQuanzhou5TDRY</t>
  </si>
  <si>
    <t>FujianQuanzhou8TDRY</t>
  </si>
  <si>
    <t>FujianQuanzhou40'HQDRY - SOC</t>
  </si>
  <si>
    <r>
      <rPr>
        <sz val="11"/>
        <rFont val="宋体"/>
        <charset val="134"/>
      </rPr>
      <t>石狮</t>
    </r>
  </si>
  <si>
    <t>FujianShishi3TDRY</t>
  </si>
  <si>
    <t>FujianShishi5TDRY</t>
  </si>
  <si>
    <t>FujianShishi8TDRY</t>
  </si>
  <si>
    <r>
      <rPr>
        <sz val="11"/>
        <rFont val="宋体"/>
        <charset val="134"/>
      </rPr>
      <t>广东</t>
    </r>
  </si>
  <si>
    <r>
      <rPr>
        <sz val="11"/>
        <rFont val="宋体"/>
        <charset val="134"/>
      </rPr>
      <t>东莞</t>
    </r>
  </si>
  <si>
    <t>GuangdongDongguan10TDRY</t>
  </si>
  <si>
    <t>GuangdongDongguan12TDRY</t>
  </si>
  <si>
    <t>GuangdongDongguan15TDRY</t>
  </si>
  <si>
    <t>GuangdongDongguan25TDRY</t>
  </si>
  <si>
    <t>GuangdongDongguan26TDRY</t>
  </si>
  <si>
    <t>GuangdongDongguan3TDRY</t>
  </si>
  <si>
    <t>GuangdongDongguan5TDRY</t>
  </si>
  <si>
    <t>GuangdongDongguan8TDRY</t>
  </si>
  <si>
    <t>DG_3T</t>
  </si>
  <si>
    <r>
      <rPr>
        <sz val="11"/>
        <color theme="1"/>
        <rFont val="宋体"/>
        <charset val="134"/>
      </rPr>
      <t>危险品</t>
    </r>
  </si>
  <si>
    <t>HAZMAT</t>
  </si>
  <si>
    <t>GuangdongDongguanDG_3THAZMAT</t>
  </si>
  <si>
    <t>DG_8T</t>
  </si>
  <si>
    <t>GuangdongDongguanDG_8THAZMAT</t>
  </si>
  <si>
    <t>REF_3T</t>
  </si>
  <si>
    <r>
      <rPr>
        <sz val="11"/>
        <color theme="1"/>
        <rFont val="宋体"/>
        <charset val="134"/>
      </rPr>
      <t>冷藏</t>
    </r>
  </si>
  <si>
    <t>REEFER</t>
  </si>
  <si>
    <t>GuangdongDongguanREF_3TREEFER</t>
  </si>
  <si>
    <t>GuangdongDongguan40'HQDRY - SOC</t>
  </si>
  <si>
    <r>
      <rPr>
        <sz val="11"/>
        <rFont val="宋体"/>
        <charset val="134"/>
      </rPr>
      <t>佛山</t>
    </r>
  </si>
  <si>
    <t>GuangdongFoshan3TDRY</t>
  </si>
  <si>
    <t>GuangdongFoshan5TDRY</t>
  </si>
  <si>
    <t>GuangdongFoshanREF_3TREEFER</t>
  </si>
  <si>
    <t>REF_5T</t>
  </si>
  <si>
    <t>GuangdongFoshanREF_5TREEFER</t>
  </si>
  <si>
    <r>
      <rPr>
        <sz val="11"/>
        <rFont val="宋体"/>
        <charset val="134"/>
      </rPr>
      <t>河源</t>
    </r>
  </si>
  <si>
    <t>GuangdongHeyuan10TDRY</t>
  </si>
  <si>
    <t>GuangdongHeyuan26TDRY</t>
  </si>
  <si>
    <t>GuangdongHeyuan3TDRY</t>
  </si>
  <si>
    <t>DG_5T</t>
  </si>
  <si>
    <t>GuangdongHeyuanDG_5THAZMAT</t>
  </si>
  <si>
    <r>
      <rPr>
        <sz val="11"/>
        <rFont val="宋体"/>
        <charset val="134"/>
      </rPr>
      <t>惠州</t>
    </r>
  </si>
  <si>
    <t>DG_10T</t>
  </si>
  <si>
    <t>GuangdongHuizhouDG_10THAZMAT</t>
  </si>
  <si>
    <t>GuangdongHuizhou12TDRY</t>
  </si>
  <si>
    <t>GuangdongHuizhou15TDRY</t>
  </si>
  <si>
    <t>GuangdongHuizhou26TDRY</t>
  </si>
  <si>
    <t>GuangdongHuizhou3TDRY</t>
  </si>
  <si>
    <t>GuangdongHuizhou5TDRY</t>
  </si>
  <si>
    <t>GuangdongHuizhou8TDRY</t>
  </si>
  <si>
    <t>GuangdongHuizhou40'HQDRY - SOC</t>
  </si>
  <si>
    <r>
      <rPr>
        <sz val="11"/>
        <rFont val="宋体"/>
        <charset val="134"/>
      </rPr>
      <t>江门</t>
    </r>
  </si>
  <si>
    <t>GuangdongJiangmen3TDRY</t>
  </si>
  <si>
    <r>
      <rPr>
        <sz val="11"/>
        <rFont val="宋体"/>
        <charset val="134"/>
      </rPr>
      <t>汕头</t>
    </r>
  </si>
  <si>
    <t>GuangdongShantou10TDRY</t>
  </si>
  <si>
    <t>GuangdongShantou3TDRY</t>
  </si>
  <si>
    <t>GuangdongShantou5TDRY</t>
  </si>
  <si>
    <t>GuangdongShantouREF_3TREEFER</t>
  </si>
  <si>
    <t>GuangdongShantouREF_5TREEFER</t>
  </si>
  <si>
    <t>GuangdongShantou40'HQDRY - SOC</t>
  </si>
  <si>
    <r>
      <rPr>
        <sz val="11"/>
        <rFont val="宋体"/>
        <charset val="134"/>
      </rPr>
      <t>深圳</t>
    </r>
  </si>
  <si>
    <t>GuangdongShenzhen10TDRY</t>
  </si>
  <si>
    <t>GuangdongShenzhen12TDRY</t>
  </si>
  <si>
    <t>GuangdongShenzhen15TDRY</t>
  </si>
  <si>
    <t>GuangdongShenzhen25TDRY</t>
  </si>
  <si>
    <t>GuangdongShenzhen26TDRY</t>
  </si>
  <si>
    <t>GuangdongShenzhen3TDRY</t>
  </si>
  <si>
    <t>GuangdongShenzhen5TDRY</t>
  </si>
  <si>
    <t>GuangdongShenzhen8TDRY</t>
  </si>
  <si>
    <t>GuangdongShenzhen40'HQDRY - SOC</t>
  </si>
  <si>
    <r>
      <rPr>
        <sz val="11"/>
        <rFont val="宋体"/>
        <charset val="134"/>
      </rPr>
      <t>肇庆</t>
    </r>
  </si>
  <si>
    <t>GuangdongZhaoqing5TDRY</t>
  </si>
  <si>
    <r>
      <rPr>
        <sz val="11"/>
        <rFont val="宋体"/>
        <charset val="134"/>
      </rPr>
      <t>中山</t>
    </r>
  </si>
  <si>
    <t>GuangdongZhongshan10TDRY</t>
  </si>
  <si>
    <t>GuangdongZhongshan12TDRY</t>
  </si>
  <si>
    <t>GuangdongZhongshan15TDRY</t>
  </si>
  <si>
    <t>GuangdongZhongshan26TDRY</t>
  </si>
  <si>
    <t>GuangdongZhongshan3TDRY</t>
  </si>
  <si>
    <t>GuangdongZhongshan40'HQDRY - SOC</t>
  </si>
  <si>
    <r>
      <rPr>
        <sz val="11"/>
        <rFont val="宋体"/>
        <charset val="134"/>
      </rPr>
      <t>珠海</t>
    </r>
  </si>
  <si>
    <t>GuangdongZhuhai3TDRY</t>
  </si>
  <si>
    <t>GuangdongZhuhai40'HQDRY - SOC</t>
  </si>
  <si>
    <r>
      <rPr>
        <sz val="11"/>
        <rFont val="宋体"/>
        <charset val="134"/>
      </rPr>
      <t>广西</t>
    </r>
  </si>
  <si>
    <r>
      <rPr>
        <sz val="11"/>
        <rFont val="宋体"/>
        <charset val="134"/>
      </rPr>
      <t>河池</t>
    </r>
  </si>
  <si>
    <t>GuangxiHechi26TDRY</t>
  </si>
  <si>
    <t>GuangxiHechi5TDRY</t>
  </si>
  <si>
    <r>
      <rPr>
        <sz val="11"/>
        <rFont val="宋体"/>
        <charset val="134"/>
      </rPr>
      <t>浦北</t>
    </r>
  </si>
  <si>
    <t>GuangxiPubei10TDRY</t>
  </si>
  <si>
    <t>GuangxiPubei12TDRY</t>
  </si>
  <si>
    <t>GuangxiPubei15TDRY</t>
  </si>
  <si>
    <t>GuangxiPubei26TDRY</t>
  </si>
  <si>
    <t>GuangxiPubei40'HQDRY - SOC</t>
  </si>
  <si>
    <r>
      <rPr>
        <sz val="11"/>
        <color theme="1"/>
        <rFont val="Arial"/>
        <family val="2"/>
      </rPr>
      <t>45</t>
    </r>
    <r>
      <rPr>
        <sz val="11"/>
        <color theme="1"/>
        <rFont val="宋体"/>
        <charset val="134"/>
      </rPr>
      <t>尺高柜</t>
    </r>
  </si>
  <si>
    <t>45'HQ</t>
  </si>
  <si>
    <t>GuangxiPubei45'HQDRY - SOC</t>
  </si>
  <si>
    <r>
      <rPr>
        <sz val="11"/>
        <rFont val="宋体"/>
        <charset val="134"/>
      </rPr>
      <t>钦州</t>
    </r>
  </si>
  <si>
    <t>GuangxiQinzhou10TDRY</t>
  </si>
  <si>
    <t>GuangxiQinzhou12TDRY</t>
  </si>
  <si>
    <t>GuangxiQinzhou15TDRY</t>
  </si>
  <si>
    <t>GuangxiQinzhou26TDRY</t>
  </si>
  <si>
    <t>GuangxiQinzhou5TDRY</t>
  </si>
  <si>
    <t>GuangxiQinzhou8TDRY</t>
  </si>
  <si>
    <t>GuangxiQinzhou40'HQDRY - SOC</t>
  </si>
  <si>
    <t>GuangxiQinzhou45'HQDRY - SOC</t>
  </si>
  <si>
    <r>
      <rPr>
        <sz val="11"/>
        <rFont val="宋体"/>
        <charset val="134"/>
      </rPr>
      <t>河北</t>
    </r>
  </si>
  <si>
    <r>
      <rPr>
        <sz val="11"/>
        <rFont val="宋体"/>
        <charset val="134"/>
      </rPr>
      <t>河间</t>
    </r>
  </si>
  <si>
    <t>HebeiHejian15TDRY</t>
  </si>
  <si>
    <t>HebeiHejian40'HQDRY - SOC</t>
  </si>
  <si>
    <r>
      <rPr>
        <sz val="11"/>
        <rFont val="宋体"/>
        <charset val="134"/>
      </rPr>
      <t>湖南</t>
    </r>
  </si>
  <si>
    <r>
      <rPr>
        <sz val="11"/>
        <rFont val="宋体"/>
        <charset val="134"/>
      </rPr>
      <t>郴州</t>
    </r>
  </si>
  <si>
    <t>HunanChenzhou10TDRY</t>
  </si>
  <si>
    <t>HunanChenzhou12TDRY</t>
  </si>
  <si>
    <t>HunanChenzhou15TDRY</t>
  </si>
  <si>
    <t>HunanChenzhou26TDRY</t>
  </si>
  <si>
    <t>HunanChenzhou8TDRY</t>
  </si>
  <si>
    <t>HunanChenzhou40'HQDRY - SOC</t>
  </si>
  <si>
    <r>
      <rPr>
        <sz val="11"/>
        <rFont val="宋体"/>
        <charset val="134"/>
      </rPr>
      <t>资兴</t>
    </r>
  </si>
  <si>
    <t>HunanZixing12TDRY</t>
  </si>
  <si>
    <t>HunanZixing8TDRY</t>
  </si>
  <si>
    <r>
      <rPr>
        <sz val="11"/>
        <rFont val="宋体"/>
        <charset val="134"/>
      </rPr>
      <t>江苏</t>
    </r>
  </si>
  <si>
    <r>
      <rPr>
        <sz val="11"/>
        <rFont val="宋体"/>
        <charset val="134"/>
      </rPr>
      <t>常州</t>
    </r>
  </si>
  <si>
    <t>JiangsuChangzhou3TDRY</t>
  </si>
  <si>
    <r>
      <rPr>
        <sz val="11"/>
        <rFont val="宋体"/>
        <charset val="134"/>
      </rPr>
      <t>连云港</t>
    </r>
  </si>
  <si>
    <t>JiangsuLianyungang10TDRY</t>
  </si>
  <si>
    <t>JiangsuLianyungang25TDRY</t>
  </si>
  <si>
    <t>JiangsuLianyungang5TDRY</t>
  </si>
  <si>
    <t>JiangsuLianyungang8TDRY</t>
  </si>
  <si>
    <r>
      <rPr>
        <sz val="11"/>
        <rFont val="宋体"/>
        <charset val="134"/>
      </rPr>
      <t>宿迁</t>
    </r>
  </si>
  <si>
    <t>JiangsuSuqian10TDRY</t>
  </si>
  <si>
    <t>JiangsuSuqian8TDRY</t>
  </si>
  <si>
    <r>
      <rPr>
        <sz val="11"/>
        <rFont val="宋体"/>
        <charset val="134"/>
      </rPr>
      <t>苏州</t>
    </r>
  </si>
  <si>
    <t>JiangsuSuzhou10TDRY</t>
  </si>
  <si>
    <t>JiangsuSuzhou12TDRY</t>
  </si>
  <si>
    <t>JiangsuSuzhou15TDRY</t>
  </si>
  <si>
    <t>JiangsuSuzhou25TDRY</t>
  </si>
  <si>
    <t>JiangsuSuzhou26TDRY</t>
  </si>
  <si>
    <t>JiangsuSuzhou3TDRY</t>
  </si>
  <si>
    <t>JiangsuSuzhou5TDRY</t>
  </si>
  <si>
    <t>JiangsuSuzhou8TDRY</t>
  </si>
  <si>
    <t>JiangsuSuzhou40'HQDRY - SOC</t>
  </si>
  <si>
    <r>
      <rPr>
        <sz val="10"/>
        <color theme="1"/>
        <rFont val="宋体"/>
        <charset val="134"/>
      </rPr>
      <t>扬州</t>
    </r>
  </si>
  <si>
    <t>JiangsuYangzhou12TDRY</t>
  </si>
  <si>
    <t>JiangsuYangzhou5TDRY</t>
  </si>
  <si>
    <t>JiangsuYangzhou8TDRY</t>
  </si>
  <si>
    <r>
      <rPr>
        <sz val="10"/>
        <color theme="1"/>
        <rFont val="宋体"/>
        <charset val="134"/>
      </rPr>
      <t>江西</t>
    </r>
  </si>
  <si>
    <r>
      <rPr>
        <sz val="10"/>
        <color theme="1"/>
        <rFont val="宋体"/>
        <charset val="134"/>
      </rPr>
      <t>赣州</t>
    </r>
  </si>
  <si>
    <t>JiangxiGanzhou10TDRY</t>
  </si>
  <si>
    <t>JiangxiGanzhou12TDRY</t>
  </si>
  <si>
    <t>JiangxiGanzhou15TDRY</t>
  </si>
  <si>
    <t>JiangxiGanzhou25TDRY</t>
  </si>
  <si>
    <t>JiangxiGanzhou26TDRY</t>
  </si>
  <si>
    <t>JiangxiGanzhou3TDRY</t>
  </si>
  <si>
    <t>JiangxiGanzhou8TDRY</t>
  </si>
  <si>
    <t>JiangxiGanzhou40'HQDRY - SOC</t>
  </si>
  <si>
    <r>
      <rPr>
        <sz val="10"/>
        <color theme="1"/>
        <rFont val="宋体"/>
        <charset val="134"/>
      </rPr>
      <t>南昌</t>
    </r>
  </si>
  <si>
    <t>REF_12T</t>
  </si>
  <si>
    <t>JiangxiNanchangREF_12TREEFER</t>
  </si>
  <si>
    <r>
      <rPr>
        <sz val="10"/>
        <color theme="1"/>
        <rFont val="宋体"/>
        <charset val="134"/>
      </rPr>
      <t>山东</t>
    </r>
  </si>
  <si>
    <r>
      <rPr>
        <sz val="10"/>
        <color theme="1"/>
        <rFont val="宋体"/>
        <charset val="134"/>
      </rPr>
      <t>青岛</t>
    </r>
  </si>
  <si>
    <t>ShandongQingdao10TDRY</t>
  </si>
  <si>
    <t>ShandongQingdao12TDRY</t>
  </si>
  <si>
    <t>ShandongQingdao3TDRY</t>
  </si>
  <si>
    <t>ShandongQingdao5TDRY</t>
  </si>
  <si>
    <t>ShandongQingdao8TDRY</t>
  </si>
  <si>
    <r>
      <rPr>
        <sz val="10"/>
        <color theme="1"/>
        <rFont val="宋体"/>
        <charset val="134"/>
      </rPr>
      <t>泰安</t>
    </r>
  </si>
  <si>
    <t>ShandongTai'An3TDRY</t>
  </si>
  <si>
    <t>ShandongTai'An5TDRY</t>
  </si>
  <si>
    <r>
      <rPr>
        <sz val="10"/>
        <color theme="1"/>
        <rFont val="宋体"/>
        <charset val="134"/>
      </rPr>
      <t>威海</t>
    </r>
  </si>
  <si>
    <t>ShandongWeihai3TDRY</t>
  </si>
  <si>
    <r>
      <rPr>
        <sz val="10"/>
        <color theme="1"/>
        <rFont val="宋体"/>
        <charset val="134"/>
      </rPr>
      <t>烟台</t>
    </r>
  </si>
  <si>
    <t>ShandongYantai3TDRY</t>
  </si>
  <si>
    <r>
      <rPr>
        <sz val="10"/>
        <color theme="1"/>
        <rFont val="宋体"/>
        <charset val="134"/>
      </rPr>
      <t>上海</t>
    </r>
  </si>
  <si>
    <t>ShanghaiShanghai10TDRY</t>
  </si>
  <si>
    <t>ShanghaiShanghai3TDRY</t>
  </si>
  <si>
    <t>ShanghaiShanghai5TDRY</t>
  </si>
  <si>
    <t>ShanghaiShanghai8TDRY</t>
  </si>
  <si>
    <t>ShanghaiShanghaiREF_3TREEFER</t>
  </si>
  <si>
    <t>ShanghaiShanghaiREF_5TREEFER</t>
  </si>
  <si>
    <r>
      <rPr>
        <sz val="11"/>
        <rFont val="Arial"/>
        <family val="2"/>
      </rPr>
      <t>40</t>
    </r>
    <r>
      <rPr>
        <sz val="11"/>
        <rFont val="宋体"/>
        <charset val="134"/>
      </rPr>
      <t>尺普柜</t>
    </r>
  </si>
  <si>
    <t>40'GP</t>
  </si>
  <si>
    <t>ShanghaiShanghai40'GPDRY - SOC</t>
  </si>
  <si>
    <t>ShanghaiShanghai40'HQDRY - SOC</t>
  </si>
  <si>
    <t>ShanghaiShanghai25TDRY</t>
  </si>
  <si>
    <r>
      <rPr>
        <sz val="10"/>
        <color theme="1"/>
        <rFont val="宋体"/>
        <charset val="134"/>
      </rPr>
      <t>陕西</t>
    </r>
  </si>
  <si>
    <r>
      <rPr>
        <sz val="10"/>
        <color theme="1"/>
        <rFont val="宋体"/>
        <charset val="134"/>
      </rPr>
      <t>安康</t>
    </r>
  </si>
  <si>
    <t>Shanxi</t>
  </si>
  <si>
    <t>20'GP</t>
  </si>
  <si>
    <r>
      <rPr>
        <sz val="10"/>
        <color theme="1"/>
        <rFont val="宋体"/>
        <charset val="134"/>
      </rPr>
      <t>浙江</t>
    </r>
  </si>
  <si>
    <r>
      <rPr>
        <sz val="10"/>
        <color theme="1"/>
        <rFont val="宋体"/>
        <charset val="134"/>
      </rPr>
      <t>湖州</t>
    </r>
  </si>
  <si>
    <t>ZhejiangHuzhou25TDRY</t>
  </si>
  <si>
    <t>ZhejiangHuzhou26TDRY</t>
  </si>
  <si>
    <t>ZhejiangHuzhou3TDRY</t>
  </si>
  <si>
    <t>ZhejiangHuzhou5TDRY</t>
  </si>
  <si>
    <t>ZhejiangHuzhou8TDRY</t>
  </si>
  <si>
    <t>ZhejiangHuzhou40'HQDRY - SOC</t>
  </si>
  <si>
    <r>
      <rPr>
        <sz val="10"/>
        <color theme="1"/>
        <rFont val="宋体"/>
        <charset val="134"/>
      </rPr>
      <t>宁波</t>
    </r>
  </si>
  <si>
    <t>ZhejiangNingbo12TDRY</t>
  </si>
  <si>
    <t>ZhejiangNingbo3TDRY</t>
  </si>
  <si>
    <t>ZhejiangNingbo5TDRY</t>
  </si>
  <si>
    <r>
      <rPr>
        <sz val="10"/>
        <color theme="1"/>
        <rFont val="宋体"/>
        <charset val="134"/>
      </rPr>
      <t>平湖</t>
    </r>
  </si>
  <si>
    <t>ZhejiangPinghu25TDRY</t>
  </si>
  <si>
    <t>ZhejiangPinghu3TDRY</t>
  </si>
  <si>
    <t>ZhejiangPinghu5TDRY</t>
  </si>
  <si>
    <t>ZhejiangPinghu8TDRY</t>
  </si>
  <si>
    <t>AnhuiChaohu20'GPDRY - SOC</t>
  </si>
  <si>
    <t>AnhuiTianchang20'GPDRY - SOC</t>
  </si>
  <si>
    <t>JiangsuChangzhou5TDRY</t>
  </si>
  <si>
    <t>JiangsuChangzhou8TDRY</t>
  </si>
  <si>
    <t>JiangsuChangzhou10TDRY</t>
  </si>
  <si>
    <t>JiangsuChangzhou12TDRY</t>
  </si>
  <si>
    <t>JiangsuChangzhou15TDRY</t>
  </si>
  <si>
    <t>JiangsuChangzhou25TDRY</t>
  </si>
  <si>
    <t>JiangsuChangzhou26TDRY</t>
  </si>
  <si>
    <t>JiangsuChangzhou20'GPDRY - SOC</t>
  </si>
  <si>
    <t>JiangsuChangzhou40'HQDRY - SOC</t>
  </si>
  <si>
    <t>AnhuiChaohu25TDRY</t>
  </si>
  <si>
    <t>HunanChenzhou20'GPDRY - SOC</t>
  </si>
  <si>
    <t>HunanChenzhou3TDRY</t>
  </si>
  <si>
    <t>郴州</t>
  </si>
  <si>
    <t>HunanChenzhou5TDRY</t>
  </si>
  <si>
    <t>HunanChenzhou25TDRY</t>
  </si>
  <si>
    <t>GuangdongDongguan20'GPDRY - SOC</t>
  </si>
  <si>
    <t>GuangdongFoshan8TDRY</t>
  </si>
  <si>
    <t>GuangdongFoshan10TDRY</t>
  </si>
  <si>
    <t>GuangdongFoshan12TDRY</t>
  </si>
  <si>
    <t>GuangdongFoshan15TDRY</t>
  </si>
  <si>
    <t>GuangdongFoshan25TDRY</t>
  </si>
  <si>
    <t>GuangdongFoshan26TDRY</t>
  </si>
  <si>
    <t>GuangdongFoshan20'GPDRY - SOC</t>
  </si>
  <si>
    <t>GuangdongFoshan40'HQDRY - SOC</t>
  </si>
  <si>
    <t>JiangxiGanzhou20'GPDRY - SOC</t>
  </si>
  <si>
    <t>JiangxiGanzhou5TDRY</t>
  </si>
  <si>
    <t>GuangxiHechi3TDRY</t>
  </si>
  <si>
    <t>GuangxiHechi8TDRY</t>
  </si>
  <si>
    <t>GuangxiHechi10TDRY</t>
  </si>
  <si>
    <t>GuangxiHechi12TDRY</t>
  </si>
  <si>
    <t>GuangxiHechi15TDRY</t>
  </si>
  <si>
    <t>GuangxiHechi25TDRY</t>
  </si>
  <si>
    <t>GuangxiHechi20'GPDRY - SOC</t>
  </si>
  <si>
    <t>GuangxiHechi40'HQDRY - SOC</t>
  </si>
  <si>
    <t>HebeiHejian3TDRY</t>
  </si>
  <si>
    <t>HebeiHejian5TDRY</t>
  </si>
  <si>
    <t>HebeiHejian8TDRY</t>
  </si>
  <si>
    <t>HebeiHejian10TDRY</t>
  </si>
  <si>
    <t>HebeiHejian12TDRY</t>
  </si>
  <si>
    <t>HebeiHejian20'GPDRY - SOC</t>
  </si>
  <si>
    <t>HebeiHejian25TDRY</t>
  </si>
  <si>
    <t>HebeiHejian26TDRY</t>
  </si>
  <si>
    <t>GuangdongHeyuan5TDRY</t>
  </si>
  <si>
    <t>GuangdongHeyuan8TDRY</t>
  </si>
  <si>
    <t>GuangdongHeyuan12TDRY</t>
  </si>
  <si>
    <t>GuangdongHeyuan15TDRY</t>
  </si>
  <si>
    <t>GuangdongHeyuan25TDRY</t>
  </si>
  <si>
    <t>GuangdongHeyuan20'GPDRY - SOC</t>
  </si>
  <si>
    <r>
      <rPr>
        <sz val="11"/>
        <color theme="1"/>
        <rFont val="Arial"/>
        <family val="2"/>
      </rPr>
      <t>40</t>
    </r>
    <r>
      <rPr>
        <sz val="11"/>
        <color theme="1"/>
        <rFont val="宋体"/>
        <charset val="134"/>
      </rPr>
      <t>尺高柜</t>
    </r>
  </si>
  <si>
    <t>40’HQ</t>
  </si>
  <si>
    <t>GuangdongHuizhou10TDRY</t>
  </si>
  <si>
    <t>GuangdongHuizhou20'GPDRY - SOC</t>
  </si>
  <si>
    <t>GuangdongHuizhou25TDRY</t>
  </si>
  <si>
    <t>ZhejiangHuzhou20'GPDRY - SOC</t>
  </si>
  <si>
    <t>ZhejiangHuzhou10TDRY</t>
  </si>
  <si>
    <t>ZhejiangHuzhou12TDRY</t>
  </si>
  <si>
    <t>ZhejiangHuzhou15TDRY</t>
  </si>
  <si>
    <t>GuangdongJiangmen5TDRY</t>
  </si>
  <si>
    <t>GuangdongJiangmen8TDRY</t>
  </si>
  <si>
    <t>GuangdongJiangmen10TDRY</t>
  </si>
  <si>
    <t>GuangdongJiangmen12TDRY</t>
  </si>
  <si>
    <t>GuangdongJiangmen15TDRY</t>
  </si>
  <si>
    <t>GuangdongJiangmen25TDRY</t>
  </si>
  <si>
    <t>GuangdongJiangmen26TDRY</t>
  </si>
  <si>
    <t>GuangdongJiangmen20'GPDRY - SOC</t>
  </si>
  <si>
    <t>JiangsuLianyungang3TDRY</t>
  </si>
  <si>
    <t>JiangsuLianyungang12TDRY</t>
  </si>
  <si>
    <t>JiangsuLianyungang15TDRY</t>
  </si>
  <si>
    <t>JiangsuLianyungang26TDRY</t>
  </si>
  <si>
    <t>JiangsuLianyungang20'GPDRY - SOC</t>
  </si>
  <si>
    <t>JiangxiNanchang3TDRY</t>
  </si>
  <si>
    <t>JiangxiNanchang5TDRY</t>
  </si>
  <si>
    <t>JiangxiNanchang8TDRY</t>
  </si>
  <si>
    <t>JiangxiNanchang10TDRY</t>
  </si>
  <si>
    <t>JiangxiNanchang12TDRY</t>
  </si>
  <si>
    <t>JiangxiNanchang15TDRY</t>
  </si>
  <si>
    <t>JiangxiNanchang25TDRY</t>
  </si>
  <si>
    <t>JiangxiNanchang26TDRY</t>
  </si>
  <si>
    <t>JiangxiNanchang20'GPDRY - SOC</t>
  </si>
  <si>
    <t>ZhejiangNingbo8TDRY</t>
  </si>
  <si>
    <t>ZhejiangNingbo10TDRY</t>
  </si>
  <si>
    <t>ZhejiangNingbo15TDRY</t>
  </si>
  <si>
    <t>ZhejiangNingbo25TDRY</t>
  </si>
  <si>
    <t>ZhejiangNingbo26TDRY</t>
  </si>
  <si>
    <t>ZhejiangNingbo20'GPDRY - SOC</t>
  </si>
  <si>
    <t>ZhejiangNingbo40'HQDRY - SOC</t>
  </si>
  <si>
    <t>ZhejiangPinghu10TDRY</t>
  </si>
  <si>
    <t>ZhejiangPinghu12TDRY</t>
  </si>
  <si>
    <t>ZhejiangPinghu15TDRY</t>
  </si>
  <si>
    <t>ZhejiangPinghu26TDRY</t>
  </si>
  <si>
    <t>ZhejiangPinghu20'GPDRY - SOC</t>
  </si>
  <si>
    <t>ZhejiangPinghu40'HQDRY - SOC</t>
  </si>
  <si>
    <t>GuangxiPubei20'GPDRY - SOC</t>
  </si>
  <si>
    <t>GuangxiPubei3TDRY</t>
  </si>
  <si>
    <t>GuangxiPubei5TDRY</t>
  </si>
  <si>
    <t>GuangxiPubei8TDRY</t>
  </si>
  <si>
    <t>GuangxiPubei25TDRY</t>
  </si>
  <si>
    <t>ShandongQingdao15TDRY</t>
  </si>
  <si>
    <t>ShandongQingdao25TDRY</t>
  </si>
  <si>
    <t>ShandongQingdao26TDRY</t>
  </si>
  <si>
    <t>ShandongQingdao20'GPDRY - SOC</t>
  </si>
  <si>
    <t>ShandongQingdao40'HQDRY - SOC</t>
  </si>
  <si>
    <t>GuangxiQinzhou20'GPDRY - SOC</t>
  </si>
  <si>
    <t>GuangxiQinzhou3TDRY</t>
  </si>
  <si>
    <t>GuangxiQinzhou25TDRY</t>
  </si>
  <si>
    <t>FujianQuanzhou20'GPDRY - SOC</t>
  </si>
  <si>
    <t>FujianQuanzhou3TDRY</t>
  </si>
  <si>
    <t>FujianQuanzhou12TDRY</t>
  </si>
  <si>
    <t>ShanghaiShanghai20'GPDRY - SOC</t>
  </si>
  <si>
    <t>ShanghaiShanghai12TDRY</t>
  </si>
  <si>
    <t>ShanghaiShanghai15TDRY</t>
  </si>
  <si>
    <t>ShanghaiShanghai26TDRY</t>
  </si>
  <si>
    <t>GuangdongShantou8TDRY</t>
  </si>
  <si>
    <t>GuangdongShantou12TDRY</t>
  </si>
  <si>
    <t>GuangdongShantou15TDRY</t>
  </si>
  <si>
    <t>GuangdongShantou20'GPDRY - SOC</t>
  </si>
  <si>
    <t>GuangdongShantou25TDRY</t>
  </si>
  <si>
    <t>GuangdongShantou26TDRY</t>
  </si>
  <si>
    <t>GuangdongShenzhen20'GPDRY - SOC</t>
  </si>
  <si>
    <t>FujianShishi10TDRY</t>
  </si>
  <si>
    <t>FujianShishi12TDRY</t>
  </si>
  <si>
    <t>FujianShishi15TDRY</t>
  </si>
  <si>
    <t>FujianShishi25TDRY</t>
  </si>
  <si>
    <t>FujianShishi26TDRY</t>
  </si>
  <si>
    <t>FujianShishi20'GPDRY - SOC</t>
  </si>
  <si>
    <t>FujianShishi40'HQDRY - SOC</t>
  </si>
  <si>
    <t>JiangsuSuqian3TDRY</t>
  </si>
  <si>
    <t>JiangsuSuqian5TDRY</t>
  </si>
  <si>
    <t>JiangsuSuqian12TDRY</t>
  </si>
  <si>
    <t>JiangsuSuqian15TDRY</t>
  </si>
  <si>
    <t>JiangsuSuqian25TDRY</t>
  </si>
  <si>
    <t>JiangsuSuqian26TDRY</t>
  </si>
  <si>
    <t>JiangsuSuqian20'GPDRY - SOC</t>
  </si>
  <si>
    <t>JiangsuSuqian40'HQDRY - SOC</t>
  </si>
  <si>
    <t>JiangsuSuzhou20'GPDRY - SOC</t>
  </si>
  <si>
    <t>ShandongTai'An8TDRY</t>
  </si>
  <si>
    <t>ShandongTai'An10TDRY</t>
  </si>
  <si>
    <t>ShandongTai'An12TDRY</t>
  </si>
  <si>
    <t>ShandongTai'An15TDRY</t>
  </si>
  <si>
    <t>ShandongTai'An25TDRY</t>
  </si>
  <si>
    <t>ShandongTai'An26TDRY</t>
  </si>
  <si>
    <t>ShandongTai'An20'GPDRY - SOC</t>
  </si>
  <si>
    <t>ShandongTai'An40'HQDRY - SOC</t>
  </si>
  <si>
    <t>ShandongWeihai5TDRY</t>
  </si>
  <si>
    <t>ShandongWeihai8TDRY</t>
  </si>
  <si>
    <t>ShandongWeihai10TDRY</t>
  </si>
  <si>
    <t>ShandongWeihai12TDRY</t>
  </si>
  <si>
    <t>ShandongWeihai15TDRY</t>
  </si>
  <si>
    <t>ShandongWeihai25TDRY</t>
  </si>
  <si>
    <t>ShandongWeihai26TDRY</t>
  </si>
  <si>
    <t>ShandongWeihai20'GPDRY - SOC</t>
  </si>
  <si>
    <t>ShandongWeihai40'HQDRY - SOC</t>
  </si>
  <si>
    <t>AnhuiXuancheng10TDRY</t>
  </si>
  <si>
    <t>AnhuiXuancheng12TDRY</t>
  </si>
  <si>
    <t>AnhuiXuancheng15TDRY</t>
  </si>
  <si>
    <t>AnhuiXuancheng25TDRY</t>
  </si>
  <si>
    <t>AnhuiXuancheng20'GPDRY - SOC</t>
  </si>
  <si>
    <t>AnhuiXuancheng40'HQDRY - SOC</t>
  </si>
  <si>
    <t>JiangsuYangzhou3TDRY</t>
  </si>
  <si>
    <t>JiangsuYangzhou10TDRY</t>
  </si>
  <si>
    <t>JiangsuYangzhou15TDRY</t>
  </si>
  <si>
    <t>JiangsuYangzhou25TDRY</t>
  </si>
  <si>
    <t>JiangsuYangzhou26TDRY</t>
  </si>
  <si>
    <t>JiangsuYangzhou20'GPDRY - SOC</t>
  </si>
  <si>
    <t>JiangsuYangzhou40'HQDRY - SOC</t>
  </si>
  <si>
    <t>ShandongYantai5TDRY</t>
  </si>
  <si>
    <t>ShandongYantai8TDRY</t>
  </si>
  <si>
    <t>ShandongYantai10TDRY</t>
  </si>
  <si>
    <t>ShandongYantai12TDRY</t>
  </si>
  <si>
    <t>ShandongYantai15TDRY</t>
  </si>
  <si>
    <t>ShandongYantai25TDRY</t>
  </si>
  <si>
    <t>ShandongYantai26TDRY</t>
  </si>
  <si>
    <t>ShandongYantai20'GPDRY - SOC</t>
  </si>
  <si>
    <t>ShandongYantai40'HQDRY - SOC</t>
  </si>
  <si>
    <t>GuangdongZhaoqing3TDRY</t>
  </si>
  <si>
    <t>GuangdongZhaoqing8TDRY</t>
  </si>
  <si>
    <t>GuangdongZhaoqing10TDRY</t>
  </si>
  <si>
    <t>GuangdongZhaoqing12TDRY</t>
  </si>
  <si>
    <t>GuangdongZhaoqing15TDRY</t>
  </si>
  <si>
    <t>GuangdongZhaoqing25TDRY</t>
  </si>
  <si>
    <t>GuangdongZhaoqing26TDRY</t>
  </si>
  <si>
    <t>GuangdongZhaoqing20'GPDRY - SOC</t>
  </si>
  <si>
    <t>GuangdongZhaoqing40'HQDRY - SOC</t>
  </si>
  <si>
    <t>GuangdongZhongshan20'GPDRY - SOC</t>
  </si>
  <si>
    <t>GuangdongZhongshan5TDRY</t>
  </si>
  <si>
    <t>GuangdongZhongshan8TDRY</t>
  </si>
  <si>
    <t>GuangdongZhongshan25TDRY</t>
  </si>
  <si>
    <t>GuangdongZhuhai5TDRY</t>
  </si>
  <si>
    <t>GuangdongZhuhai8TDRY</t>
  </si>
  <si>
    <t>GuangdongZhuhai10TDRY</t>
  </si>
  <si>
    <t>GuangdongZhuhai12TDRY</t>
  </si>
  <si>
    <t>GuangdongZhuhai15TDRY</t>
  </si>
  <si>
    <t>GuangdongZhuhai20'GPDRY - SOC</t>
  </si>
  <si>
    <t>GuangdongZhuhai25TDRY</t>
  </si>
  <si>
    <t>GuangdongZhuhai26TDRY</t>
  </si>
  <si>
    <t>HunanZixing3TDRY</t>
  </si>
  <si>
    <t>HunanZixing5TDRY</t>
  </si>
  <si>
    <t>HunanZixing10TDRY</t>
  </si>
  <si>
    <t>HunanZixing15TDRY</t>
  </si>
  <si>
    <t>HunanZixing25TDRY</t>
  </si>
  <si>
    <t>HunanZixing26TDRY</t>
  </si>
  <si>
    <t>HunanZixing20'GPDRY - SOC</t>
  </si>
  <si>
    <t>HunanZixing40'HQDRY - SOC</t>
  </si>
  <si>
    <r>
      <rPr>
        <sz val="11"/>
        <rFont val="宋体"/>
        <charset val="134"/>
      </rPr>
      <t>北海</t>
    </r>
  </si>
  <si>
    <t>GuangxiBeihai3TDRY</t>
  </si>
  <si>
    <t>GuangxiBeihai5TDRY</t>
  </si>
  <si>
    <t>GuangxiBeihai8TDRY</t>
  </si>
  <si>
    <t>GuangxiBeihai10TDRY</t>
  </si>
  <si>
    <t>GuangxiBeihai12TDRY</t>
  </si>
  <si>
    <t>GuangxiBeihai15TDRY</t>
  </si>
  <si>
    <t>GuangxiBeihai25TDRY</t>
  </si>
  <si>
    <t>GuangxiBeihai26TDRY</t>
  </si>
  <si>
    <t>GuangxiBeihai20'GPDRY - SOC</t>
  </si>
  <si>
    <t>GuangxiBeihai40'HQDRY - SOC</t>
  </si>
  <si>
    <r>
      <rPr>
        <sz val="11"/>
        <rFont val="宋体"/>
        <charset val="134"/>
      </rPr>
      <t>浙江</t>
    </r>
  </si>
  <si>
    <r>
      <rPr>
        <sz val="11"/>
        <rFont val="宋体"/>
        <charset val="134"/>
      </rPr>
      <t>温州</t>
    </r>
  </si>
  <si>
    <t>ZhejiangWenzhou3TDRY</t>
  </si>
  <si>
    <t>ZhejiangWenzhou5TDRY</t>
  </si>
  <si>
    <t>ZhejiangWenzhou8TDRY</t>
  </si>
  <si>
    <t>ZhejiangWenzhou10TDRY</t>
  </si>
  <si>
    <t>ZhejiangWenzhou12TDRY</t>
  </si>
  <si>
    <t>ZhejiangWenzhou15TDRY</t>
  </si>
  <si>
    <t>ZhejiangWenzhou25TDRY</t>
  </si>
  <si>
    <t>ZhejiangWenzhou26TDRY</t>
  </si>
  <si>
    <t>ZhejiangWenzhou20'GPDRY - SOC</t>
  </si>
  <si>
    <t>ZhejiangWenzhou40'HQDRY - SOC</t>
  </si>
  <si>
    <t>零担费率</t>
  </si>
  <si>
    <t>费率由运输部（MOT）审定。所报费率不得以捆绑中标为条件。</t>
  </si>
  <si>
    <t>目的地</t>
  </si>
  <si>
    <t>SHDR DC1（主配送中心）：上海临港新城普洛斯临港物流园洋浩路575号，
中国上海市浦东新区</t>
  </si>
  <si>
    <t>TDSC 配送中心：上海市奉贤区航塘公路3088号C栋3楼迪士尼商店仓库，开瑞益上海配送中心C3，上海市奉贤区航塘公路3088号</t>
  </si>
  <si>
    <t>币种：人民币</t>
  </si>
  <si>
    <t>不含增值税</t>
  </si>
  <si>
    <t>费率（人民币）</t>
  </si>
  <si>
    <t>出发省份</t>
  </si>
  <si>
    <t>出发城市</t>
  </si>
  <si>
    <t>2027年预测货量合计（立方米）</t>
  </si>
  <si>
    <t>历史发运次数</t>
  </si>
  <si>
    <t>运输天数（不含提货日）</t>
  </si>
  <si>
    <t>最低收费（人民币）不含增值税</t>
  </si>
  <si>
    <t>费率（人民币/公斤）不含增值税</t>
  </si>
  <si>
    <t>安徽</t>
  </si>
  <si>
    <t>巢湖</t>
  </si>
  <si>
    <t>滁州</t>
  </si>
  <si>
    <t>天长</t>
  </si>
  <si>
    <t>宣城</t>
  </si>
  <si>
    <t>福建</t>
  </si>
  <si>
    <t>泉州</t>
  </si>
  <si>
    <t>石狮</t>
  </si>
  <si>
    <t>厦门</t>
  </si>
  <si>
    <t>漳州</t>
  </si>
  <si>
    <t>广东</t>
  </si>
  <si>
    <t>潮州</t>
  </si>
  <si>
    <t>东莞</t>
  </si>
  <si>
    <t>佛山</t>
  </si>
  <si>
    <t>广州</t>
  </si>
  <si>
    <t>河源</t>
  </si>
  <si>
    <t>惠州</t>
  </si>
  <si>
    <t>江门</t>
  </si>
  <si>
    <t>清远</t>
  </si>
  <si>
    <t>汕头</t>
  </si>
  <si>
    <t>深圳</t>
  </si>
  <si>
    <t>肇庆</t>
  </si>
  <si>
    <t>中山</t>
  </si>
  <si>
    <t>珠海</t>
  </si>
  <si>
    <t>广西</t>
  </si>
  <si>
    <t>岑溪</t>
  </si>
  <si>
    <t>河池</t>
  </si>
  <si>
    <t>浦北</t>
  </si>
  <si>
    <t>钦州</t>
  </si>
  <si>
    <t>河北</t>
  </si>
  <si>
    <t>河间</t>
  </si>
  <si>
    <t>湖南</t>
  </si>
  <si>
    <t>资兴</t>
  </si>
  <si>
    <t>江苏</t>
  </si>
  <si>
    <t>常熟</t>
  </si>
  <si>
    <t>常州</t>
  </si>
  <si>
    <t>金坛</t>
  </si>
  <si>
    <t>连云港</t>
  </si>
  <si>
    <t>苏州</t>
  </si>
  <si>
    <t>无锡</t>
  </si>
  <si>
    <t>扬州</t>
  </si>
  <si>
    <t>江西</t>
  </si>
  <si>
    <t>赣州</t>
  </si>
  <si>
    <t>山东</t>
  </si>
  <si>
    <t>青岛</t>
  </si>
  <si>
    <t>日照</t>
  </si>
  <si>
    <t>泰安</t>
  </si>
  <si>
    <t>威海</t>
  </si>
  <si>
    <t>烟台</t>
  </si>
  <si>
    <t>诸城</t>
  </si>
  <si>
    <t>上海</t>
  </si>
  <si>
    <t>陕西</t>
  </si>
  <si>
    <t>安康</t>
  </si>
  <si>
    <t>浙江</t>
  </si>
  <si>
    <t>杭州</t>
  </si>
  <si>
    <t>湖州</t>
  </si>
  <si>
    <t>金华</t>
  </si>
  <si>
    <t>宁波</t>
  </si>
  <si>
    <t>平湖</t>
  </si>
  <si>
    <t>台州</t>
  </si>
  <si>
    <t>北海</t>
  </si>
  <si>
    <t>温州</t>
  </si>
  <si>
    <t>起始省份</t>
  </si>
  <si>
    <t>起始城市</t>
  </si>
  <si>
    <t>Anhui</t>
  </si>
  <si>
    <t>Ankang</t>
  </si>
  <si>
    <t>Fujian</t>
  </si>
  <si>
    <t>Beihai</t>
  </si>
  <si>
    <t>Guangdong</t>
  </si>
  <si>
    <t>Changzhou</t>
  </si>
  <si>
    <t>Guangxi</t>
  </si>
  <si>
    <t>Chaohu</t>
  </si>
  <si>
    <t>Hebei</t>
  </si>
  <si>
    <t>Chenzhou</t>
  </si>
  <si>
    <t>Hunan</t>
  </si>
  <si>
    <t>Dongguan</t>
  </si>
  <si>
    <t>Jiangsu</t>
  </si>
  <si>
    <t>Foshan</t>
  </si>
  <si>
    <t>Jiangxi</t>
  </si>
  <si>
    <t>Ganzhou</t>
  </si>
  <si>
    <t>Shandong</t>
  </si>
  <si>
    <t>Hechi</t>
  </si>
  <si>
    <t>山西</t>
  </si>
  <si>
    <t>Hejian</t>
  </si>
  <si>
    <t>Shanghai</t>
  </si>
  <si>
    <t>Heyuan</t>
  </si>
  <si>
    <t>Zhejiang</t>
  </si>
  <si>
    <t>Huzhou</t>
  </si>
  <si>
    <t>Huizhou</t>
  </si>
  <si>
    <t>Jiangmen</t>
  </si>
  <si>
    <t>Lianyungang</t>
  </si>
  <si>
    <t>南昌</t>
  </si>
  <si>
    <t>Nanchang</t>
  </si>
  <si>
    <t>Ningbo</t>
  </si>
  <si>
    <t>Pinghu</t>
  </si>
  <si>
    <t>Pubei</t>
  </si>
  <si>
    <t>Qinzhou</t>
  </si>
  <si>
    <t>Qingdao</t>
  </si>
  <si>
    <t>Quanzhou</t>
  </si>
  <si>
    <t>Shantou</t>
  </si>
  <si>
    <t>Shenzhen</t>
  </si>
  <si>
    <t>Shishi</t>
  </si>
  <si>
    <t>Suzhou</t>
  </si>
  <si>
    <t>宿迁</t>
  </si>
  <si>
    <t>Suqian</t>
  </si>
  <si>
    <t>Tai'An</t>
  </si>
  <si>
    <t>Tianchang</t>
  </si>
  <si>
    <t>Weihai</t>
  </si>
  <si>
    <t>Wenzhou</t>
  </si>
  <si>
    <t>Xuancheng</t>
  </si>
  <si>
    <t>Yantai</t>
  </si>
  <si>
    <t>Yangzhou</t>
  </si>
  <si>
    <t>Zhaoqing</t>
  </si>
  <si>
    <t>Zhongshan</t>
  </si>
  <si>
    <t>Zhuhai</t>
  </si>
  <si>
    <t>Zixing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</si>
</sst>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0.0"/>
    <numFmt numFmtId="177" formatCode="_ [$¥-804]* #,##0.00_ ;_ [$¥-804]* \-#,##0.00_ ;_ [$¥-804]* &quot;-&quot;??_ ;_ @_ "/>
    <numFmt numFmtId="178" formatCode="0_ "/>
    <numFmt numFmtId="179" formatCode="0.000_ "/>
  </numFmts>
  <fonts count="37" x14ac:knownFonts="1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rgb="FF0F1115"/>
      <name val="Segoe UI"/>
      <family val="2"/>
    </font>
    <font>
      <sz val="16"/>
      <color rgb="FFC0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C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Arial"/>
      <family val="2"/>
    </font>
    <font>
      <sz val="16"/>
      <color rgb="FFC00000"/>
      <name val="Arial"/>
      <family val="2"/>
    </font>
    <font>
      <sz val="11"/>
      <name val="Arial"/>
      <family val="2"/>
    </font>
    <font>
      <u/>
      <sz val="11"/>
      <color rgb="FFC0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name val="宋体"/>
      <charset val="134"/>
    </font>
    <font>
      <b/>
      <u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indexed="8"/>
      <name val="Calibri"/>
      <family val="2"/>
    </font>
    <font>
      <sz val="11"/>
      <color theme="1"/>
      <name val="宋体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1"/>
      <color rgb="FFFFFFFF"/>
      <name val="宋体"/>
      <charset val="134"/>
    </font>
    <font>
      <sz val="16"/>
      <color rgb="FFC00000"/>
      <name val="宋体"/>
      <charset val="134"/>
    </font>
    <font>
      <sz val="11"/>
      <color rgb="FFFF0000"/>
      <name val="宋体"/>
      <charset val="134"/>
    </font>
    <font>
      <b/>
      <sz val="11"/>
      <color theme="0"/>
      <name val="宋体"/>
      <charset val="134"/>
    </font>
    <font>
      <u/>
      <sz val="11"/>
      <color rgb="FFC00000"/>
      <name val="宋体"/>
      <charset val="134"/>
    </font>
    <font>
      <b/>
      <sz val="11"/>
      <color rgb="FFFF0000"/>
      <name val="宋体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/>
    <xf numFmtId="0" fontId="27" fillId="0" borderId="0"/>
  </cellStyleXfs>
  <cellXfs count="9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/>
    <xf numFmtId="0" fontId="0" fillId="4" borderId="0" xfId="0" applyFill="1" applyAlignment="1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2" fontId="9" fillId="6" borderId="1" xfId="0" applyNumberFormat="1" applyFont="1" applyFill="1" applyBorder="1" applyAlignment="1">
      <alignment horizontal="left" vertical="center" wrapText="1"/>
    </xf>
    <xf numFmtId="1" fontId="9" fillId="6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/>
    </xf>
    <xf numFmtId="2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7" borderId="3" xfId="0" applyFont="1" applyFill="1" applyBorder="1" applyAlignment="1">
      <alignment horizontal="center"/>
    </xf>
    <xf numFmtId="178" fontId="10" fillId="7" borderId="1" xfId="1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7" borderId="3" xfId="0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4" borderId="0" xfId="0" applyFont="1" applyFill="1" applyAlignment="1"/>
    <xf numFmtId="0" fontId="12" fillId="0" borderId="0" xfId="0" applyFont="1" applyAlignme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4" borderId="0" xfId="0" applyFont="1" applyFill="1" applyAlignment="1"/>
    <xf numFmtId="0" fontId="14" fillId="4" borderId="0" xfId="0" applyFont="1" applyFill="1" applyAlignment="1"/>
    <xf numFmtId="0" fontId="15" fillId="4" borderId="0" xfId="0" applyFont="1" applyFill="1" applyAlignment="1"/>
    <xf numFmtId="0" fontId="16" fillId="0" borderId="0" xfId="0" applyFont="1" applyAlignment="1"/>
    <xf numFmtId="0" fontId="17" fillId="0" borderId="0" xfId="0" applyFont="1" applyAlignment="1"/>
    <xf numFmtId="0" fontId="12" fillId="0" borderId="6" xfId="0" applyFont="1" applyBorder="1" applyAlignment="1"/>
    <xf numFmtId="0" fontId="18" fillId="0" borderId="4" xfId="0" applyFont="1" applyBorder="1" applyAlignment="1"/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9" fillId="6" borderId="10" xfId="0" applyFont="1" applyFill="1" applyBorder="1" applyAlignment="1">
      <alignment horizontal="center" vertical="center" wrapText="1"/>
    </xf>
    <xf numFmtId="177" fontId="19" fillId="6" borderId="10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4" fillId="7" borderId="1" xfId="0" applyFont="1" applyFill="1" applyBorder="1" applyAlignment="1">
      <alignment horizontal="center" vertical="center"/>
    </xf>
    <xf numFmtId="0" fontId="12" fillId="0" borderId="13" xfId="0" applyFont="1" applyBorder="1" applyAlignment="1"/>
    <xf numFmtId="177" fontId="12" fillId="7" borderId="14" xfId="0" applyNumberFormat="1" applyFont="1" applyFill="1" applyBorder="1" applyAlignment="1"/>
    <xf numFmtId="0" fontId="12" fillId="0" borderId="15" xfId="0" applyFont="1" applyBorder="1" applyAlignment="1"/>
    <xf numFmtId="177" fontId="12" fillId="7" borderId="16" xfId="0" applyNumberFormat="1" applyFont="1" applyFill="1" applyBorder="1" applyAlignment="1"/>
    <xf numFmtId="9" fontId="12" fillId="7" borderId="16" xfId="2" applyFont="1" applyFill="1" applyBorder="1" applyAlignment="1" applyProtection="1"/>
    <xf numFmtId="0" fontId="14" fillId="0" borderId="0" xfId="0" applyFont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 vertical="center"/>
    </xf>
    <xf numFmtId="0" fontId="14" fillId="4" borderId="1" xfId="0" applyFont="1" applyFill="1" applyBorder="1" applyAlignment="1">
      <alignment horizontal="left"/>
    </xf>
    <xf numFmtId="0" fontId="23" fillId="0" borderId="0" xfId="0" applyFont="1" applyAlignment="1"/>
    <xf numFmtId="0" fontId="6" fillId="0" borderId="0" xfId="0" applyFont="1" applyAlignment="1"/>
    <xf numFmtId="0" fontId="24" fillId="6" borderId="11" xfId="0" applyFont="1" applyFill="1" applyBorder="1" applyAlignment="1">
      <alignment horizontal="left" vertical="top"/>
    </xf>
    <xf numFmtId="0" fontId="24" fillId="6" borderId="18" xfId="0" applyFont="1" applyFill="1" applyBorder="1" applyAlignment="1">
      <alignment horizontal="left" vertical="top" wrapText="1"/>
    </xf>
    <xf numFmtId="0" fontId="25" fillId="0" borderId="15" xfId="4" applyFont="1" applyBorder="1" applyAlignment="1">
      <alignment wrapText="1"/>
    </xf>
    <xf numFmtId="0" fontId="0" fillId="7" borderId="1" xfId="0" applyFill="1" applyBorder="1" applyAlignment="1"/>
    <xf numFmtId="0" fontId="0" fillId="7" borderId="10" xfId="0" applyFill="1" applyBorder="1" applyAlignment="1"/>
    <xf numFmtId="0" fontId="0" fillId="0" borderId="15" xfId="0" applyBorder="1" applyAlignment="1"/>
    <xf numFmtId="0" fontId="0" fillId="7" borderId="19" xfId="0" applyFill="1" applyBorder="1" applyAlignment="1"/>
    <xf numFmtId="0" fontId="0" fillId="0" borderId="20" xfId="0" applyBorder="1" applyAlignment="1"/>
    <xf numFmtId="0" fontId="0" fillId="7" borderId="21" xfId="0" applyFill="1" applyBorder="1" applyAlignment="1"/>
    <xf numFmtId="179" fontId="10" fillId="7" borderId="1" xfId="1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/>
    <xf numFmtId="0" fontId="0" fillId="0" borderId="3" xfId="0" applyBorder="1" applyAlignment="1"/>
    <xf numFmtId="0" fontId="6" fillId="0" borderId="4" xfId="0" applyFont="1" applyBorder="1" applyAlignment="1">
      <alignment horizontal="center" wrapText="1"/>
    </xf>
    <xf numFmtId="0" fontId="0" fillId="0" borderId="5" xfId="0" applyBorder="1" applyAlignment="1"/>
    <xf numFmtId="0" fontId="0" fillId="0" borderId="6" xfId="0" applyBorder="1" applyAlignment="1"/>
    <xf numFmtId="0" fontId="6" fillId="5" borderId="7" xfId="0" applyFont="1" applyFill="1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12" fillId="4" borderId="1" xfId="0" applyFont="1" applyFill="1" applyBorder="1" applyAlignment="1">
      <alignment horizontal="left" wrapText="1"/>
    </xf>
    <xf numFmtId="0" fontId="12" fillId="0" borderId="2" xfId="0" applyFont="1" applyBorder="1" applyAlignment="1"/>
    <xf numFmtId="0" fontId="18" fillId="0" borderId="4" xfId="0" applyFont="1" applyBorder="1" applyAlignment="1">
      <alignment horizontal="center"/>
    </xf>
    <xf numFmtId="0" fontId="12" fillId="0" borderId="6" xfId="0" applyFont="1" applyBorder="1" applyAlignment="1"/>
    <xf numFmtId="0" fontId="12" fillId="0" borderId="17" xfId="0" applyFont="1" applyBorder="1" applyAlignment="1">
      <alignment horizontal="left" vertical="top" wrapText="1"/>
    </xf>
    <xf numFmtId="0" fontId="12" fillId="0" borderId="17" xfId="0" applyFont="1" applyBorder="1" applyAlignment="1"/>
    <xf numFmtId="0" fontId="12" fillId="0" borderId="0" xfId="0" applyFont="1" applyAlignment="1"/>
  </cellXfs>
  <cellStyles count="5">
    <cellStyle name="Normal 2" xfId="3" xr:uid="{00000000-0005-0000-0000-000031000000}"/>
    <cellStyle name="Normal_Volumes Re-Organized" xfId="4" xr:uid="{00000000-0005-0000-0000-000032000000}"/>
    <cellStyle name="百分比" xfId="2" builtinId="5"/>
    <cellStyle name="常规" xfId="0" builtinId="0"/>
    <cellStyle name="千位分隔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workbookViewId="0">
      <selection activeCell="C13" sqref="C13"/>
    </sheetView>
  </sheetViews>
  <sheetFormatPr defaultColWidth="9.86328125" defaultRowHeight="13.5" x14ac:dyDescent="0.3"/>
  <cols>
    <col min="1" max="1" width="9.86328125" style="3"/>
    <col min="2" max="2" width="19.33203125" style="3" customWidth="1"/>
    <col min="3" max="3" width="20.3984375" style="3" customWidth="1"/>
    <col min="4" max="16384" width="9.86328125" style="3"/>
  </cols>
  <sheetData>
    <row r="2" spans="2:3" x14ac:dyDescent="0.3">
      <c r="B2" s="66" t="s">
        <v>0</v>
      </c>
    </row>
    <row r="3" spans="2:3" ht="15" customHeight="1" x14ac:dyDescent="0.3">
      <c r="B3" s="67" t="s">
        <v>1</v>
      </c>
    </row>
    <row r="4" spans="2:3" ht="29.55" customHeight="1" x14ac:dyDescent="0.3">
      <c r="B4" s="68" t="s">
        <v>2</v>
      </c>
      <c r="C4" s="69" t="s">
        <v>3</v>
      </c>
    </row>
    <row r="5" spans="2:3" ht="14.65" x14ac:dyDescent="0.45">
      <c r="B5" s="70" t="s">
        <v>4</v>
      </c>
      <c r="C5" s="71">
        <v>12</v>
      </c>
    </row>
    <row r="6" spans="2:3" ht="14.65" x14ac:dyDescent="0.45">
      <c r="B6" s="70" t="s">
        <v>5</v>
      </c>
      <c r="C6" s="71">
        <v>23</v>
      </c>
    </row>
    <row r="7" spans="2:3" ht="14.65" x14ac:dyDescent="0.45">
      <c r="B7" s="70" t="s">
        <v>6</v>
      </c>
      <c r="C7" s="71">
        <v>32</v>
      </c>
    </row>
    <row r="8" spans="2:3" ht="14.65" x14ac:dyDescent="0.45">
      <c r="B8" s="70" t="s">
        <v>7</v>
      </c>
      <c r="C8" s="72">
        <v>40</v>
      </c>
    </row>
    <row r="9" spans="2:3" ht="14.65" x14ac:dyDescent="0.45">
      <c r="B9" s="70" t="s">
        <v>8</v>
      </c>
      <c r="C9" s="71">
        <v>45</v>
      </c>
    </row>
    <row r="10" spans="2:3" x14ac:dyDescent="0.3">
      <c r="B10" s="73" t="s">
        <v>9</v>
      </c>
      <c r="C10" s="71">
        <v>55</v>
      </c>
    </row>
    <row r="11" spans="2:3" x14ac:dyDescent="0.3">
      <c r="B11" s="73" t="s">
        <v>10</v>
      </c>
      <c r="C11" s="71">
        <v>90</v>
      </c>
    </row>
    <row r="12" spans="2:3" x14ac:dyDescent="0.3">
      <c r="B12" s="73" t="s">
        <v>11</v>
      </c>
      <c r="C12" s="71">
        <v>110</v>
      </c>
    </row>
    <row r="13" spans="2:3" x14ac:dyDescent="0.3">
      <c r="B13" s="73" t="s">
        <v>12</v>
      </c>
      <c r="C13" s="71">
        <v>145</v>
      </c>
    </row>
    <row r="14" spans="2:3" x14ac:dyDescent="0.3">
      <c r="B14" s="73" t="s">
        <v>13</v>
      </c>
      <c r="C14" s="71">
        <v>28</v>
      </c>
    </row>
    <row r="15" spans="2:3" x14ac:dyDescent="0.3">
      <c r="B15" s="73" t="s">
        <v>14</v>
      </c>
      <c r="C15" s="74">
        <v>58</v>
      </c>
    </row>
    <row r="16" spans="2:3" ht="15" customHeight="1" x14ac:dyDescent="0.3">
      <c r="B16" s="75" t="s">
        <v>15</v>
      </c>
      <c r="C16" s="76">
        <v>68</v>
      </c>
    </row>
  </sheetData>
  <phoneticPr fontId="3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15"/>
  <sheetViews>
    <sheetView showGridLines="0" tabSelected="1" topLeftCell="A16" zoomScale="70" zoomScaleNormal="70" workbookViewId="0">
      <selection activeCell="F25" sqref="F25"/>
    </sheetView>
  </sheetViews>
  <sheetFormatPr defaultColWidth="9.86328125" defaultRowHeight="13.5" x14ac:dyDescent="0.35"/>
  <cols>
    <col min="1" max="1" width="4.86328125" style="30" customWidth="1"/>
    <col min="2" max="2" width="15.46484375" style="30" customWidth="1"/>
    <col min="3" max="3" width="19.9296875" style="30" customWidth="1"/>
    <col min="4" max="4" width="23.46484375" style="31" customWidth="1"/>
    <col min="5" max="5" width="19.33203125" style="32" customWidth="1"/>
    <col min="6" max="6" width="17.59765625" style="30" customWidth="1"/>
    <col min="7" max="7" width="22.86328125" style="30" customWidth="1"/>
    <col min="8" max="8" width="13.59765625" style="33" hidden="1" customWidth="1"/>
    <col min="9" max="9" width="11.3984375" style="30" hidden="1" customWidth="1"/>
    <col min="10" max="10" width="23.46484375" style="31" hidden="1" customWidth="1"/>
    <col min="11" max="11" width="19.33203125" style="32" hidden="1" customWidth="1"/>
    <col min="12" max="12" width="28.33203125" style="32" hidden="1" customWidth="1"/>
    <col min="13" max="13" width="17.59765625" style="30" hidden="1" customWidth="1"/>
    <col min="14" max="14" width="19.86328125" style="30" hidden="1" customWidth="1"/>
    <col min="15" max="15" width="19.86328125" style="30" customWidth="1"/>
    <col min="16" max="16" width="46" style="30" customWidth="1"/>
    <col min="17" max="17" width="21" style="30" customWidth="1"/>
    <col min="18" max="16384" width="9.86328125" style="30"/>
  </cols>
  <sheetData>
    <row r="1" spans="2:17" ht="21" customHeight="1" x14ac:dyDescent="0.55000000000000004">
      <c r="B1" s="34" t="s">
        <v>16</v>
      </c>
    </row>
    <row r="2" spans="2:17" ht="13.9" x14ac:dyDescent="0.35">
      <c r="B2" s="35" t="s">
        <v>17</v>
      </c>
    </row>
    <row r="4" spans="2:17" ht="13.9" x14ac:dyDescent="0.35">
      <c r="B4" s="36" t="s">
        <v>18</v>
      </c>
    </row>
    <row r="5" spans="2:17" ht="18" customHeight="1" x14ac:dyDescent="0.35">
      <c r="B5" s="87" t="s">
        <v>19</v>
      </c>
      <c r="C5" s="88"/>
      <c r="D5" s="88"/>
      <c r="E5" s="88"/>
      <c r="F5" s="88"/>
      <c r="G5" s="88"/>
      <c r="J5" s="30"/>
      <c r="K5" s="30"/>
      <c r="L5" s="30"/>
    </row>
    <row r="6" spans="2:17" s="29" customFormat="1" ht="26.55" customHeight="1" x14ac:dyDescent="0.35">
      <c r="B6" s="87" t="s">
        <v>20</v>
      </c>
      <c r="C6" s="88"/>
      <c r="D6" s="88"/>
      <c r="E6" s="88"/>
      <c r="F6" s="88"/>
      <c r="G6" s="88"/>
      <c r="H6" s="33"/>
      <c r="I6" s="30"/>
      <c r="J6" s="30"/>
      <c r="K6" s="30"/>
      <c r="L6" s="30"/>
      <c r="M6" s="30"/>
      <c r="N6" s="30"/>
      <c r="O6" s="30"/>
    </row>
    <row r="7" spans="2:17" ht="14.25" x14ac:dyDescent="0.4">
      <c r="B7" s="37" t="s">
        <v>21</v>
      </c>
      <c r="C7" s="38" t="s">
        <v>22</v>
      </c>
    </row>
    <row r="8" spans="2:17" ht="15" customHeight="1" thickBot="1" x14ac:dyDescent="0.45">
      <c r="B8" s="37"/>
      <c r="C8" s="38"/>
    </row>
    <row r="9" spans="2:17" ht="15" customHeight="1" thickBot="1" x14ac:dyDescent="0.45">
      <c r="B9" s="37"/>
      <c r="C9" s="38"/>
      <c r="F9" s="89" t="s">
        <v>23</v>
      </c>
      <c r="G9" s="90"/>
      <c r="M9" s="40" t="s">
        <v>23</v>
      </c>
      <c r="N9" s="39"/>
    </row>
    <row r="10" spans="2:17" ht="57" customHeight="1" thickBot="1" x14ac:dyDescent="0.4">
      <c r="B10" s="41" t="s">
        <v>24</v>
      </c>
      <c r="C10" s="41" t="s">
        <v>25</v>
      </c>
      <c r="D10" s="42" t="s">
        <v>26</v>
      </c>
      <c r="E10" s="42" t="s">
        <v>27</v>
      </c>
      <c r="F10" s="43" t="s">
        <v>28</v>
      </c>
      <c r="G10" s="44" t="s">
        <v>29</v>
      </c>
      <c r="H10" s="45" t="s">
        <v>24</v>
      </c>
      <c r="I10" s="45" t="s">
        <v>25</v>
      </c>
      <c r="J10" s="46" t="s">
        <v>26</v>
      </c>
      <c r="K10" s="46" t="s">
        <v>27</v>
      </c>
      <c r="L10" s="46"/>
      <c r="M10" s="46" t="s">
        <v>28</v>
      </c>
      <c r="N10" s="46" t="s">
        <v>29</v>
      </c>
      <c r="O10" s="47"/>
      <c r="P10" s="48" t="s">
        <v>30</v>
      </c>
      <c r="Q10" s="49" t="s">
        <v>31</v>
      </c>
    </row>
    <row r="11" spans="2:17" ht="15" customHeight="1" x14ac:dyDescent="0.35">
      <c r="B11" s="50" t="s">
        <v>32</v>
      </c>
      <c r="C11" s="51" t="s">
        <v>33</v>
      </c>
      <c r="D11" s="50" t="s">
        <v>7</v>
      </c>
      <c r="E11" s="52" t="s">
        <v>34</v>
      </c>
      <c r="F11" s="53">
        <v>1</v>
      </c>
      <c r="G11" s="53">
        <v>3060</v>
      </c>
      <c r="H11" s="33" t="str">
        <f>VLOOKUP(B11,Sheet1!A:B,2,0)</f>
        <v>Anhui</v>
      </c>
      <c r="I11" s="33" t="str">
        <f>VLOOKUP(C11,Sheet1!C:D,2,0)</f>
        <v>Chaohu</v>
      </c>
      <c r="J11" s="50" t="s">
        <v>7</v>
      </c>
      <c r="K11" s="52" t="s">
        <v>35</v>
      </c>
      <c r="L11" s="52" t="s">
        <v>36</v>
      </c>
      <c r="M11" s="53"/>
      <c r="N11" s="53"/>
      <c r="O11" s="47">
        <v>1350</v>
      </c>
      <c r="P11" s="54" t="s">
        <v>37</v>
      </c>
      <c r="Q11" s="55"/>
    </row>
    <row r="12" spans="2:17" ht="13.9" x14ac:dyDescent="0.35">
      <c r="B12" s="50" t="s">
        <v>32</v>
      </c>
      <c r="C12" s="51" t="s">
        <v>33</v>
      </c>
      <c r="D12" s="50" t="s">
        <v>8</v>
      </c>
      <c r="E12" s="52" t="s">
        <v>34</v>
      </c>
      <c r="F12" s="53">
        <v>1</v>
      </c>
      <c r="G12" s="53">
        <v>3120</v>
      </c>
      <c r="H12" s="33" t="str">
        <f>VLOOKUP(B12,Sheet1!A:B,2,0)</f>
        <v>Anhui</v>
      </c>
      <c r="I12" s="33" t="str">
        <f>VLOOKUP(C12,Sheet1!C:D,2,0)</f>
        <v>Chaohu</v>
      </c>
      <c r="J12" s="50" t="s">
        <v>8</v>
      </c>
      <c r="K12" s="52" t="s">
        <v>35</v>
      </c>
      <c r="L12" s="52" t="s">
        <v>38</v>
      </c>
      <c r="M12" s="53"/>
      <c r="N12" s="53"/>
      <c r="O12" s="47"/>
      <c r="P12" s="56" t="s">
        <v>39</v>
      </c>
      <c r="Q12" s="57"/>
    </row>
    <row r="13" spans="2:17" ht="13.9" x14ac:dyDescent="0.35">
      <c r="B13" s="50" t="s">
        <v>32</v>
      </c>
      <c r="C13" s="51" t="s">
        <v>33</v>
      </c>
      <c r="D13" s="50" t="s">
        <v>9</v>
      </c>
      <c r="E13" s="52" t="s">
        <v>34</v>
      </c>
      <c r="F13" s="53">
        <v>1</v>
      </c>
      <c r="G13" s="53">
        <v>4776</v>
      </c>
      <c r="H13" s="33" t="str">
        <f>VLOOKUP(B13,Sheet1!A:B,2,0)</f>
        <v>Anhui</v>
      </c>
      <c r="I13" s="33" t="str">
        <f>VLOOKUP(C13,Sheet1!C:D,2,0)</f>
        <v>Chaohu</v>
      </c>
      <c r="J13" s="50" t="s">
        <v>9</v>
      </c>
      <c r="K13" s="52" t="s">
        <v>35</v>
      </c>
      <c r="L13" s="52" t="s">
        <v>40</v>
      </c>
      <c r="M13" s="53"/>
      <c r="N13" s="53"/>
      <c r="O13" s="47"/>
      <c r="P13" s="56" t="s">
        <v>41</v>
      </c>
      <c r="Q13" s="57"/>
    </row>
    <row r="14" spans="2:17" ht="14.55" customHeight="1" x14ac:dyDescent="0.35">
      <c r="B14" s="50" t="s">
        <v>32</v>
      </c>
      <c r="C14" s="51" t="s">
        <v>33</v>
      </c>
      <c r="D14" s="50" t="s">
        <v>11</v>
      </c>
      <c r="E14" s="52" t="s">
        <v>34</v>
      </c>
      <c r="F14" s="53">
        <v>1</v>
      </c>
      <c r="G14" s="53">
        <v>5028</v>
      </c>
      <c r="H14" s="33" t="str">
        <f>VLOOKUP(B14,Sheet1!A:B,2,0)</f>
        <v>Anhui</v>
      </c>
      <c r="I14" s="33" t="str">
        <f>VLOOKUP(C14,Sheet1!C:D,2,0)</f>
        <v>Chaohu</v>
      </c>
      <c r="J14" s="50" t="s">
        <v>11</v>
      </c>
      <c r="K14" s="52" t="s">
        <v>35</v>
      </c>
      <c r="L14" s="52" t="s">
        <v>42</v>
      </c>
      <c r="M14" s="53"/>
      <c r="N14" s="53"/>
      <c r="O14" s="47"/>
      <c r="P14" s="56" t="s">
        <v>43</v>
      </c>
      <c r="Q14" s="58"/>
    </row>
    <row r="15" spans="2:17" ht="13.9" x14ac:dyDescent="0.35">
      <c r="B15" s="50" t="s">
        <v>32</v>
      </c>
      <c r="C15" s="51" t="s">
        <v>33</v>
      </c>
      <c r="D15" s="50" t="s">
        <v>4</v>
      </c>
      <c r="E15" s="52" t="s">
        <v>34</v>
      </c>
      <c r="F15" s="53">
        <v>1</v>
      </c>
      <c r="G15" s="53">
        <v>1620</v>
      </c>
      <c r="H15" s="33" t="str">
        <f>VLOOKUP(B15,Sheet1!A:B,2,0)</f>
        <v>Anhui</v>
      </c>
      <c r="I15" s="33" t="str">
        <f>VLOOKUP(C15,Sheet1!C:D,2,0)</f>
        <v>Chaohu</v>
      </c>
      <c r="J15" s="50" t="s">
        <v>4</v>
      </c>
      <c r="K15" s="52" t="s">
        <v>35</v>
      </c>
      <c r="L15" s="52" t="s">
        <v>44</v>
      </c>
      <c r="M15" s="53"/>
      <c r="N15" s="53"/>
      <c r="O15" s="47"/>
      <c r="P15" s="91"/>
      <c r="Q15" s="92"/>
    </row>
    <row r="16" spans="2:17" ht="13.9" x14ac:dyDescent="0.35">
      <c r="B16" s="50" t="s">
        <v>32</v>
      </c>
      <c r="C16" s="51" t="s">
        <v>33</v>
      </c>
      <c r="D16" s="50" t="s">
        <v>5</v>
      </c>
      <c r="E16" s="52" t="s">
        <v>34</v>
      </c>
      <c r="F16" s="53">
        <v>1</v>
      </c>
      <c r="G16" s="53">
        <v>2640</v>
      </c>
      <c r="H16" s="33" t="str">
        <f>VLOOKUP(B16,Sheet1!A:B,2,0)</f>
        <v>Anhui</v>
      </c>
      <c r="I16" s="33" t="str">
        <f>VLOOKUP(C16,Sheet1!C:D,2,0)</f>
        <v>Chaohu</v>
      </c>
      <c r="J16" s="50" t="s">
        <v>5</v>
      </c>
      <c r="K16" s="52" t="s">
        <v>35</v>
      </c>
      <c r="L16" s="52" t="s">
        <v>45</v>
      </c>
      <c r="M16" s="53"/>
      <c r="N16" s="53"/>
      <c r="O16" s="47"/>
      <c r="P16" s="93"/>
      <c r="Q16" s="93"/>
    </row>
    <row r="17" spans="2:17" ht="13.9" x14ac:dyDescent="0.35">
      <c r="B17" s="50" t="s">
        <v>32</v>
      </c>
      <c r="C17" s="51" t="s">
        <v>33</v>
      </c>
      <c r="D17" s="50" t="s">
        <v>6</v>
      </c>
      <c r="E17" s="52" t="s">
        <v>34</v>
      </c>
      <c r="F17" s="53">
        <v>1</v>
      </c>
      <c r="G17" s="53">
        <v>2520</v>
      </c>
      <c r="H17" s="33" t="str">
        <f>VLOOKUP(B17,Sheet1!A:B,2,0)</f>
        <v>Anhui</v>
      </c>
      <c r="I17" s="33" t="str">
        <f>VLOOKUP(C17,Sheet1!C:D,2,0)</f>
        <v>Chaohu</v>
      </c>
      <c r="J17" s="50" t="s">
        <v>6</v>
      </c>
      <c r="K17" s="52" t="s">
        <v>35</v>
      </c>
      <c r="L17" s="52" t="s">
        <v>46</v>
      </c>
      <c r="M17" s="53"/>
      <c r="N17" s="53"/>
      <c r="O17" s="47"/>
      <c r="P17" s="93"/>
      <c r="Q17" s="93"/>
    </row>
    <row r="18" spans="2:17" ht="13.9" x14ac:dyDescent="0.35">
      <c r="B18" s="50" t="s">
        <v>32</v>
      </c>
      <c r="C18" s="51" t="s">
        <v>33</v>
      </c>
      <c r="D18" s="50" t="s">
        <v>47</v>
      </c>
      <c r="E18" s="52" t="s">
        <v>48</v>
      </c>
      <c r="F18" s="53">
        <v>1</v>
      </c>
      <c r="G18" s="53">
        <v>5040</v>
      </c>
      <c r="H18" s="33" t="str">
        <f>VLOOKUP(B18,Sheet1!A:B,2,0)</f>
        <v>Anhui</v>
      </c>
      <c r="I18" s="33" t="str">
        <f>VLOOKUP(C18,Sheet1!C:D,2,0)</f>
        <v>Chaohu</v>
      </c>
      <c r="J18" s="50" t="s">
        <v>49</v>
      </c>
      <c r="K18" s="52" t="s">
        <v>50</v>
      </c>
      <c r="L18" s="52" t="s">
        <v>51</v>
      </c>
      <c r="M18" s="53"/>
      <c r="N18" s="53"/>
      <c r="O18" s="47"/>
      <c r="P18" s="93"/>
      <c r="Q18" s="93"/>
    </row>
    <row r="19" spans="2:17" ht="13.9" x14ac:dyDescent="0.35">
      <c r="B19" s="50" t="s">
        <v>32</v>
      </c>
      <c r="C19" s="51" t="s">
        <v>52</v>
      </c>
      <c r="D19" s="50" t="s">
        <v>7</v>
      </c>
      <c r="E19" s="52" t="s">
        <v>34</v>
      </c>
      <c r="F19" s="53">
        <v>1</v>
      </c>
      <c r="G19" s="53">
        <v>2760</v>
      </c>
      <c r="H19" s="33" t="str">
        <f>VLOOKUP(B19,Sheet1!A:B,2,0)</f>
        <v>Anhui</v>
      </c>
      <c r="I19" s="33" t="str">
        <f>VLOOKUP(C19,Sheet1!C:D,2,0)</f>
        <v>Tianchang</v>
      </c>
      <c r="J19" s="50" t="s">
        <v>7</v>
      </c>
      <c r="K19" s="52" t="s">
        <v>35</v>
      </c>
      <c r="L19" s="52" t="s">
        <v>53</v>
      </c>
      <c r="M19" s="53"/>
      <c r="N19" s="53"/>
      <c r="O19" s="47"/>
    </row>
    <row r="20" spans="2:17" ht="13.9" x14ac:dyDescent="0.35">
      <c r="B20" s="50" t="s">
        <v>32</v>
      </c>
      <c r="C20" s="51" t="s">
        <v>52</v>
      </c>
      <c r="D20" s="50" t="s">
        <v>8</v>
      </c>
      <c r="E20" s="52" t="s">
        <v>34</v>
      </c>
      <c r="F20" s="53">
        <v>1</v>
      </c>
      <c r="G20" s="53">
        <v>2760</v>
      </c>
      <c r="H20" s="33" t="str">
        <f>VLOOKUP(B20,Sheet1!A:B,2,0)</f>
        <v>Anhui</v>
      </c>
      <c r="I20" s="33" t="str">
        <f>VLOOKUP(C20,Sheet1!C:D,2,0)</f>
        <v>Tianchang</v>
      </c>
      <c r="J20" s="50" t="s">
        <v>8</v>
      </c>
      <c r="K20" s="52" t="s">
        <v>35</v>
      </c>
      <c r="L20" s="52" t="s">
        <v>54</v>
      </c>
      <c r="M20" s="53"/>
      <c r="N20" s="53"/>
      <c r="O20" s="47"/>
    </row>
    <row r="21" spans="2:17" ht="13.9" x14ac:dyDescent="0.35">
      <c r="B21" s="50" t="s">
        <v>32</v>
      </c>
      <c r="C21" s="51" t="s">
        <v>52</v>
      </c>
      <c r="D21" s="52" t="s">
        <v>9</v>
      </c>
      <c r="E21" s="52" t="s">
        <v>34</v>
      </c>
      <c r="F21" s="53">
        <v>1</v>
      </c>
      <c r="G21" s="53">
        <v>4284</v>
      </c>
      <c r="H21" s="33" t="str">
        <f>VLOOKUP(B21,Sheet1!A:B,2,0)</f>
        <v>Anhui</v>
      </c>
      <c r="I21" s="33" t="str">
        <f>VLOOKUP(C21,Sheet1!C:D,2,0)</f>
        <v>Tianchang</v>
      </c>
      <c r="J21" s="52" t="s">
        <v>9</v>
      </c>
      <c r="K21" s="52" t="s">
        <v>35</v>
      </c>
      <c r="L21" s="52" t="s">
        <v>55</v>
      </c>
      <c r="M21" s="53"/>
      <c r="N21" s="53"/>
      <c r="O21" s="47"/>
    </row>
    <row r="22" spans="2:17" ht="13.9" x14ac:dyDescent="0.35">
      <c r="B22" s="50" t="s">
        <v>32</v>
      </c>
      <c r="C22" s="51" t="s">
        <v>52</v>
      </c>
      <c r="D22" s="52" t="s">
        <v>10</v>
      </c>
      <c r="E22" s="52" t="s">
        <v>34</v>
      </c>
      <c r="F22" s="53">
        <v>1</v>
      </c>
      <c r="G22" s="53">
        <v>4740</v>
      </c>
      <c r="H22" s="33" t="str">
        <f>VLOOKUP(B22,Sheet1!A:B,2,0)</f>
        <v>Anhui</v>
      </c>
      <c r="I22" s="33" t="str">
        <f>VLOOKUP(C22,Sheet1!C:D,2,0)</f>
        <v>Tianchang</v>
      </c>
      <c r="J22" s="52" t="s">
        <v>10</v>
      </c>
      <c r="K22" s="52" t="s">
        <v>35</v>
      </c>
      <c r="L22" s="52" t="s">
        <v>56</v>
      </c>
      <c r="M22" s="53"/>
      <c r="N22" s="53"/>
      <c r="O22" s="47"/>
    </row>
    <row r="23" spans="2:17" ht="13.9" x14ac:dyDescent="0.35">
      <c r="B23" s="50" t="s">
        <v>32</v>
      </c>
      <c r="C23" s="51" t="s">
        <v>52</v>
      </c>
      <c r="D23" s="52" t="s">
        <v>11</v>
      </c>
      <c r="E23" s="52" t="s">
        <v>34</v>
      </c>
      <c r="F23" s="53">
        <v>1</v>
      </c>
      <c r="G23" s="53">
        <v>4980</v>
      </c>
      <c r="H23" s="33" t="str">
        <f>VLOOKUP(B23,Sheet1!A:B,2,0)</f>
        <v>Anhui</v>
      </c>
      <c r="I23" s="33" t="str">
        <f>VLOOKUP(C23,Sheet1!C:D,2,0)</f>
        <v>Tianchang</v>
      </c>
      <c r="J23" s="52" t="s">
        <v>11</v>
      </c>
      <c r="K23" s="52" t="s">
        <v>35</v>
      </c>
      <c r="L23" s="52" t="s">
        <v>57</v>
      </c>
      <c r="M23" s="53"/>
      <c r="N23" s="53"/>
      <c r="O23" s="59"/>
    </row>
    <row r="24" spans="2:17" ht="13.9" x14ac:dyDescent="0.35">
      <c r="B24" s="50" t="s">
        <v>32</v>
      </c>
      <c r="C24" s="51" t="s">
        <v>52</v>
      </c>
      <c r="D24" s="60" t="s">
        <v>4</v>
      </c>
      <c r="E24" s="52" t="s">
        <v>34</v>
      </c>
      <c r="F24" s="53">
        <v>1</v>
      </c>
      <c r="G24" s="53">
        <v>1380</v>
      </c>
      <c r="H24" s="33" t="str">
        <f>VLOOKUP(B24,Sheet1!A:B,2,0)</f>
        <v>Anhui</v>
      </c>
      <c r="I24" s="33" t="str">
        <f>VLOOKUP(C24,Sheet1!C:D,2,0)</f>
        <v>Tianchang</v>
      </c>
      <c r="J24" s="60" t="s">
        <v>4</v>
      </c>
      <c r="K24" s="52" t="s">
        <v>35</v>
      </c>
      <c r="L24" s="52" t="s">
        <v>58</v>
      </c>
      <c r="M24" s="53"/>
      <c r="N24" s="53"/>
      <c r="O24" s="59"/>
    </row>
    <row r="25" spans="2:17" ht="13.9" x14ac:dyDescent="0.35">
      <c r="B25" s="50" t="s">
        <v>32</v>
      </c>
      <c r="C25" s="51" t="s">
        <v>52</v>
      </c>
      <c r="D25" s="61" t="s">
        <v>5</v>
      </c>
      <c r="E25" s="52" t="s">
        <v>34</v>
      </c>
      <c r="F25" s="53">
        <v>1</v>
      </c>
      <c r="G25" s="53">
        <v>2400</v>
      </c>
      <c r="H25" s="33" t="str">
        <f>VLOOKUP(B25,Sheet1!A:B,2,0)</f>
        <v>Anhui</v>
      </c>
      <c r="I25" s="33" t="str">
        <f>VLOOKUP(C25,Sheet1!C:D,2,0)</f>
        <v>Tianchang</v>
      </c>
      <c r="J25" s="61" t="s">
        <v>5</v>
      </c>
      <c r="K25" s="52" t="s">
        <v>35</v>
      </c>
      <c r="L25" s="52" t="s">
        <v>59</v>
      </c>
      <c r="M25" s="53"/>
      <c r="N25" s="53"/>
      <c r="O25" s="59"/>
    </row>
    <row r="26" spans="2:17" ht="13.9" x14ac:dyDescent="0.35">
      <c r="B26" s="50" t="s">
        <v>32</v>
      </c>
      <c r="C26" s="51" t="s">
        <v>52</v>
      </c>
      <c r="D26" s="61" t="s">
        <v>6</v>
      </c>
      <c r="E26" s="52" t="s">
        <v>34</v>
      </c>
      <c r="F26" s="53">
        <v>1</v>
      </c>
      <c r="G26" s="53">
        <v>2460</v>
      </c>
      <c r="H26" s="33" t="str">
        <f>VLOOKUP(B26,Sheet1!A:B,2,0)</f>
        <v>Anhui</v>
      </c>
      <c r="I26" s="33" t="str">
        <f>VLOOKUP(C26,Sheet1!C:D,2,0)</f>
        <v>Tianchang</v>
      </c>
      <c r="J26" s="61" t="s">
        <v>6</v>
      </c>
      <c r="K26" s="52" t="s">
        <v>35</v>
      </c>
      <c r="L26" s="52" t="s">
        <v>60</v>
      </c>
      <c r="M26" s="53"/>
      <c r="N26" s="53"/>
      <c r="O26" s="59"/>
    </row>
    <row r="27" spans="2:17" ht="13.9" x14ac:dyDescent="0.35">
      <c r="B27" s="50" t="s">
        <v>32</v>
      </c>
      <c r="C27" s="51" t="s">
        <v>52</v>
      </c>
      <c r="D27" s="50" t="s">
        <v>47</v>
      </c>
      <c r="E27" s="52" t="s">
        <v>48</v>
      </c>
      <c r="F27" s="53">
        <v>1</v>
      </c>
      <c r="G27" s="53">
        <v>4980</v>
      </c>
      <c r="H27" s="33" t="str">
        <f>VLOOKUP(B27,Sheet1!A:B,2,0)</f>
        <v>Anhui</v>
      </c>
      <c r="I27" s="33" t="str">
        <f>VLOOKUP(C27,Sheet1!C:D,2,0)</f>
        <v>Tianchang</v>
      </c>
      <c r="J27" s="50" t="s">
        <v>49</v>
      </c>
      <c r="K27" s="52" t="s">
        <v>50</v>
      </c>
      <c r="L27" s="52" t="s">
        <v>61</v>
      </c>
      <c r="M27" s="53"/>
      <c r="N27" s="53"/>
      <c r="O27" s="59"/>
    </row>
    <row r="28" spans="2:17" ht="13.9" x14ac:dyDescent="0.35">
      <c r="B28" s="50" t="s">
        <v>32</v>
      </c>
      <c r="C28" s="51" t="s">
        <v>62</v>
      </c>
      <c r="D28" s="50" t="s">
        <v>11</v>
      </c>
      <c r="E28" s="52" t="s">
        <v>34</v>
      </c>
      <c r="F28" s="53">
        <v>1</v>
      </c>
      <c r="G28" s="53">
        <v>3900</v>
      </c>
      <c r="H28" s="33" t="str">
        <f>VLOOKUP(B28,Sheet1!A:B,2,0)</f>
        <v>Anhui</v>
      </c>
      <c r="I28" s="33" t="str">
        <f>VLOOKUP(C28,Sheet1!C:D,2,0)</f>
        <v>Xuancheng</v>
      </c>
      <c r="J28" s="50" t="s">
        <v>11</v>
      </c>
      <c r="K28" s="52" t="s">
        <v>35</v>
      </c>
      <c r="L28" s="52" t="s">
        <v>63</v>
      </c>
      <c r="M28" s="53"/>
      <c r="N28" s="53"/>
      <c r="O28" s="59"/>
    </row>
    <row r="29" spans="2:17" ht="13.9" x14ac:dyDescent="0.35">
      <c r="B29" s="50" t="s">
        <v>32</v>
      </c>
      <c r="C29" s="51" t="s">
        <v>62</v>
      </c>
      <c r="D29" s="50" t="s">
        <v>4</v>
      </c>
      <c r="E29" s="52" t="s">
        <v>34</v>
      </c>
      <c r="F29" s="53">
        <v>1</v>
      </c>
      <c r="G29" s="53">
        <v>1188</v>
      </c>
      <c r="H29" s="33" t="str">
        <f>VLOOKUP(B29,Sheet1!A:B,2,0)</f>
        <v>Anhui</v>
      </c>
      <c r="I29" s="33" t="str">
        <f>VLOOKUP(C29,Sheet1!C:D,2,0)</f>
        <v>Xuancheng</v>
      </c>
      <c r="J29" s="50" t="s">
        <v>4</v>
      </c>
      <c r="K29" s="52" t="s">
        <v>35</v>
      </c>
      <c r="L29" s="52" t="s">
        <v>64</v>
      </c>
      <c r="M29" s="53"/>
      <c r="N29" s="53"/>
      <c r="O29" s="59"/>
    </row>
    <row r="30" spans="2:17" ht="13.9" x14ac:dyDescent="0.35">
      <c r="B30" s="50" t="s">
        <v>32</v>
      </c>
      <c r="C30" s="51" t="s">
        <v>62</v>
      </c>
      <c r="D30" s="50" t="s">
        <v>5</v>
      </c>
      <c r="E30" s="52" t="s">
        <v>34</v>
      </c>
      <c r="F30" s="53">
        <v>1</v>
      </c>
      <c r="G30" s="53">
        <v>1872</v>
      </c>
      <c r="H30" s="33" t="str">
        <f>VLOOKUP(B30,Sheet1!A:B,2,0)</f>
        <v>Anhui</v>
      </c>
      <c r="I30" s="33" t="str">
        <f>VLOOKUP(C30,Sheet1!C:D,2,0)</f>
        <v>Xuancheng</v>
      </c>
      <c r="J30" s="50" t="s">
        <v>5</v>
      </c>
      <c r="K30" s="52" t="s">
        <v>35</v>
      </c>
      <c r="L30" s="52" t="s">
        <v>65</v>
      </c>
      <c r="M30" s="53"/>
      <c r="N30" s="53"/>
      <c r="O30" s="59"/>
    </row>
    <row r="31" spans="2:17" ht="13.9" x14ac:dyDescent="0.35">
      <c r="B31" s="50" t="s">
        <v>32</v>
      </c>
      <c r="C31" s="51" t="s">
        <v>62</v>
      </c>
      <c r="D31" s="50" t="s">
        <v>6</v>
      </c>
      <c r="E31" s="52" t="s">
        <v>34</v>
      </c>
      <c r="F31" s="53">
        <v>1</v>
      </c>
      <c r="G31" s="53">
        <v>1980</v>
      </c>
      <c r="H31" s="33" t="str">
        <f>VLOOKUP(B31,Sheet1!A:B,2,0)</f>
        <v>Anhui</v>
      </c>
      <c r="I31" s="33" t="str">
        <f>VLOOKUP(C31,Sheet1!C:D,2,0)</f>
        <v>Xuancheng</v>
      </c>
      <c r="J31" s="50" t="s">
        <v>6</v>
      </c>
      <c r="K31" s="52" t="s">
        <v>35</v>
      </c>
      <c r="L31" s="52" t="s">
        <v>66</v>
      </c>
      <c r="M31" s="53"/>
      <c r="N31" s="53"/>
      <c r="O31" s="59"/>
    </row>
    <row r="32" spans="2:17" ht="13.9" x14ac:dyDescent="0.35">
      <c r="B32" s="50" t="s">
        <v>67</v>
      </c>
      <c r="C32" s="51" t="s">
        <v>68</v>
      </c>
      <c r="D32" s="50" t="s">
        <v>7</v>
      </c>
      <c r="E32" s="52" t="s">
        <v>34</v>
      </c>
      <c r="F32" s="53">
        <v>3</v>
      </c>
      <c r="G32" s="53">
        <v>4080</v>
      </c>
      <c r="H32" s="33" t="str">
        <f>VLOOKUP(B32,Sheet1!A:B,2,0)</f>
        <v>Fujian</v>
      </c>
      <c r="I32" s="33" t="str">
        <f>VLOOKUP(C32,Sheet1!C:D,2,0)</f>
        <v>Quanzhou</v>
      </c>
      <c r="J32" s="50" t="s">
        <v>7</v>
      </c>
      <c r="K32" s="52" t="s">
        <v>35</v>
      </c>
      <c r="L32" s="52" t="s">
        <v>69</v>
      </c>
      <c r="M32" s="53"/>
      <c r="N32" s="53"/>
      <c r="O32" s="59"/>
    </row>
    <row r="33" spans="2:15" ht="13.9" x14ac:dyDescent="0.35">
      <c r="B33" s="50" t="s">
        <v>67</v>
      </c>
      <c r="C33" s="51" t="s">
        <v>68</v>
      </c>
      <c r="D33" s="50" t="s">
        <v>9</v>
      </c>
      <c r="E33" s="52" t="s">
        <v>34</v>
      </c>
      <c r="F33" s="53">
        <v>3</v>
      </c>
      <c r="G33" s="53">
        <v>6120</v>
      </c>
      <c r="H33" s="33" t="str">
        <f>VLOOKUP(B33,Sheet1!A:B,2,0)</f>
        <v>Fujian</v>
      </c>
      <c r="I33" s="33" t="str">
        <f>VLOOKUP(C33,Sheet1!C:D,2,0)</f>
        <v>Quanzhou</v>
      </c>
      <c r="J33" s="50" t="s">
        <v>9</v>
      </c>
      <c r="K33" s="52" t="s">
        <v>35</v>
      </c>
      <c r="L33" s="52" t="s">
        <v>70</v>
      </c>
      <c r="M33" s="53"/>
      <c r="N33" s="53"/>
      <c r="O33" s="59"/>
    </row>
    <row r="34" spans="2:15" ht="13.9" x14ac:dyDescent="0.35">
      <c r="B34" s="50" t="s">
        <v>67</v>
      </c>
      <c r="C34" s="51" t="s">
        <v>68</v>
      </c>
      <c r="D34" s="50" t="s">
        <v>10</v>
      </c>
      <c r="E34" s="52" t="s">
        <v>34</v>
      </c>
      <c r="F34" s="53">
        <v>3</v>
      </c>
      <c r="G34" s="53">
        <v>6600</v>
      </c>
      <c r="H34" s="33" t="str">
        <f>VLOOKUP(B34,Sheet1!A:B,2,0)</f>
        <v>Fujian</v>
      </c>
      <c r="I34" s="33" t="str">
        <f>VLOOKUP(C34,Sheet1!C:D,2,0)</f>
        <v>Quanzhou</v>
      </c>
      <c r="J34" s="50" t="s">
        <v>10</v>
      </c>
      <c r="K34" s="52" t="s">
        <v>35</v>
      </c>
      <c r="L34" s="52" t="s">
        <v>71</v>
      </c>
      <c r="M34" s="53"/>
      <c r="N34" s="53"/>
      <c r="O34" s="59"/>
    </row>
    <row r="35" spans="2:15" ht="13.9" x14ac:dyDescent="0.35">
      <c r="B35" s="50" t="s">
        <v>67</v>
      </c>
      <c r="C35" s="51" t="s">
        <v>68</v>
      </c>
      <c r="D35" s="50" t="s">
        <v>11</v>
      </c>
      <c r="E35" s="52" t="s">
        <v>34</v>
      </c>
      <c r="F35" s="53">
        <v>3</v>
      </c>
      <c r="G35" s="53">
        <v>6720</v>
      </c>
      <c r="H35" s="33" t="str">
        <f>VLOOKUP(B35,Sheet1!A:B,2,0)</f>
        <v>Fujian</v>
      </c>
      <c r="I35" s="33" t="str">
        <f>VLOOKUP(C35,Sheet1!C:D,2,0)</f>
        <v>Quanzhou</v>
      </c>
      <c r="J35" s="50" t="s">
        <v>11</v>
      </c>
      <c r="K35" s="52" t="s">
        <v>35</v>
      </c>
      <c r="L35" s="52" t="s">
        <v>72</v>
      </c>
      <c r="M35" s="53"/>
      <c r="N35" s="53"/>
      <c r="O35" s="59"/>
    </row>
    <row r="36" spans="2:15" ht="13.9" x14ac:dyDescent="0.35">
      <c r="B36" s="50" t="s">
        <v>67</v>
      </c>
      <c r="C36" s="51" t="s">
        <v>68</v>
      </c>
      <c r="D36" s="50" t="s">
        <v>5</v>
      </c>
      <c r="E36" s="52" t="s">
        <v>34</v>
      </c>
      <c r="F36" s="53">
        <v>3</v>
      </c>
      <c r="G36" s="53">
        <v>3240</v>
      </c>
      <c r="H36" s="33" t="str">
        <f>VLOOKUP(B36,Sheet1!A:B,2,0)</f>
        <v>Fujian</v>
      </c>
      <c r="I36" s="33" t="str">
        <f>VLOOKUP(C36,Sheet1!C:D,2,0)</f>
        <v>Quanzhou</v>
      </c>
      <c r="J36" s="50" t="s">
        <v>5</v>
      </c>
      <c r="K36" s="52" t="s">
        <v>35</v>
      </c>
      <c r="L36" s="52" t="s">
        <v>73</v>
      </c>
      <c r="M36" s="53"/>
      <c r="N36" s="53"/>
      <c r="O36" s="59"/>
    </row>
    <row r="37" spans="2:15" ht="13.9" x14ac:dyDescent="0.35">
      <c r="B37" s="50" t="s">
        <v>67</v>
      </c>
      <c r="C37" s="51" t="s">
        <v>68</v>
      </c>
      <c r="D37" s="50" t="s">
        <v>6</v>
      </c>
      <c r="E37" s="52" t="s">
        <v>34</v>
      </c>
      <c r="F37" s="53">
        <v>3</v>
      </c>
      <c r="G37" s="53">
        <v>3840</v>
      </c>
      <c r="H37" s="33" t="str">
        <f>VLOOKUP(B37,Sheet1!A:B,2,0)</f>
        <v>Fujian</v>
      </c>
      <c r="I37" s="33" t="str">
        <f>VLOOKUP(C37,Sheet1!C:D,2,0)</f>
        <v>Quanzhou</v>
      </c>
      <c r="J37" s="50" t="s">
        <v>6</v>
      </c>
      <c r="K37" s="52" t="s">
        <v>35</v>
      </c>
      <c r="L37" s="52" t="s">
        <v>74</v>
      </c>
      <c r="M37" s="53"/>
      <c r="N37" s="53"/>
      <c r="O37" s="59"/>
    </row>
    <row r="38" spans="2:15" ht="13.9" x14ac:dyDescent="0.35">
      <c r="B38" s="50" t="s">
        <v>67</v>
      </c>
      <c r="C38" s="51" t="s">
        <v>68</v>
      </c>
      <c r="D38" s="50" t="s">
        <v>47</v>
      </c>
      <c r="E38" s="52" t="s">
        <v>48</v>
      </c>
      <c r="F38" s="53">
        <v>3</v>
      </c>
      <c r="G38" s="53">
        <v>6840</v>
      </c>
      <c r="H38" s="33" t="str">
        <f>VLOOKUP(B38,Sheet1!A:B,2,0)</f>
        <v>Fujian</v>
      </c>
      <c r="I38" s="33" t="str">
        <f>VLOOKUP(C38,Sheet1!C:D,2,0)</f>
        <v>Quanzhou</v>
      </c>
      <c r="J38" s="50" t="s">
        <v>49</v>
      </c>
      <c r="K38" s="52" t="s">
        <v>50</v>
      </c>
      <c r="L38" s="52" t="s">
        <v>75</v>
      </c>
      <c r="M38" s="53"/>
      <c r="N38" s="53"/>
      <c r="O38" s="59"/>
    </row>
    <row r="39" spans="2:15" ht="13.9" x14ac:dyDescent="0.35">
      <c r="B39" s="50" t="s">
        <v>67</v>
      </c>
      <c r="C39" s="51" t="s">
        <v>76</v>
      </c>
      <c r="D39" s="52" t="s">
        <v>4</v>
      </c>
      <c r="E39" s="52" t="s">
        <v>34</v>
      </c>
      <c r="F39" s="53">
        <v>3</v>
      </c>
      <c r="G39" s="53">
        <v>2484</v>
      </c>
      <c r="H39" s="33" t="str">
        <f>VLOOKUP(B39,Sheet1!A:B,2,0)</f>
        <v>Fujian</v>
      </c>
      <c r="I39" s="33" t="str">
        <f>VLOOKUP(C39,Sheet1!C:D,2,0)</f>
        <v>Shishi</v>
      </c>
      <c r="J39" s="52" t="s">
        <v>4</v>
      </c>
      <c r="K39" s="52" t="s">
        <v>35</v>
      </c>
      <c r="L39" s="52" t="s">
        <v>77</v>
      </c>
      <c r="M39" s="53"/>
      <c r="N39" s="53"/>
      <c r="O39" s="59"/>
    </row>
    <row r="40" spans="2:15" ht="13.9" x14ac:dyDescent="0.35">
      <c r="B40" s="50" t="s">
        <v>67</v>
      </c>
      <c r="C40" s="51" t="s">
        <v>76</v>
      </c>
      <c r="D40" s="52" t="s">
        <v>5</v>
      </c>
      <c r="E40" s="52" t="s">
        <v>34</v>
      </c>
      <c r="F40" s="53">
        <v>3</v>
      </c>
      <c r="G40" s="53">
        <v>3480</v>
      </c>
      <c r="H40" s="33" t="str">
        <f>VLOOKUP(B40,Sheet1!A:B,2,0)</f>
        <v>Fujian</v>
      </c>
      <c r="I40" s="33" t="str">
        <f>VLOOKUP(C40,Sheet1!C:D,2,0)</f>
        <v>Shishi</v>
      </c>
      <c r="J40" s="52" t="s">
        <v>5</v>
      </c>
      <c r="K40" s="52" t="s">
        <v>35</v>
      </c>
      <c r="L40" s="52" t="s">
        <v>78</v>
      </c>
      <c r="M40" s="53"/>
      <c r="N40" s="53"/>
      <c r="O40" s="59"/>
    </row>
    <row r="41" spans="2:15" ht="13.9" x14ac:dyDescent="0.35">
      <c r="B41" s="50" t="s">
        <v>67</v>
      </c>
      <c r="C41" s="51" t="s">
        <v>76</v>
      </c>
      <c r="D41" s="52" t="s">
        <v>6</v>
      </c>
      <c r="E41" s="52" t="s">
        <v>34</v>
      </c>
      <c r="F41" s="53">
        <v>3</v>
      </c>
      <c r="G41" s="53">
        <v>3900</v>
      </c>
      <c r="H41" s="33" t="str">
        <f>VLOOKUP(B41,Sheet1!A:B,2,0)</f>
        <v>Fujian</v>
      </c>
      <c r="I41" s="33" t="str">
        <f>VLOOKUP(C41,Sheet1!C:D,2,0)</f>
        <v>Shishi</v>
      </c>
      <c r="J41" s="52" t="s">
        <v>6</v>
      </c>
      <c r="K41" s="52" t="s">
        <v>35</v>
      </c>
      <c r="L41" s="52" t="s">
        <v>79</v>
      </c>
      <c r="M41" s="53"/>
      <c r="N41" s="53"/>
      <c r="O41" s="59"/>
    </row>
    <row r="42" spans="2:15" ht="13.9" x14ac:dyDescent="0.35">
      <c r="B42" s="50" t="s">
        <v>80</v>
      </c>
      <c r="C42" s="51" t="s">
        <v>81</v>
      </c>
      <c r="D42" s="52" t="s">
        <v>7</v>
      </c>
      <c r="E42" s="52" t="s">
        <v>34</v>
      </c>
      <c r="F42" s="53">
        <v>3</v>
      </c>
      <c r="G42" s="53">
        <v>5400</v>
      </c>
      <c r="H42" s="33" t="str">
        <f>VLOOKUP(B42,Sheet1!A:B,2,0)</f>
        <v>Guangdong</v>
      </c>
      <c r="I42" s="33" t="str">
        <f>VLOOKUP(C42,Sheet1!C:D,2,0)</f>
        <v>Dongguan</v>
      </c>
      <c r="J42" s="52" t="s">
        <v>7</v>
      </c>
      <c r="K42" s="52" t="s">
        <v>35</v>
      </c>
      <c r="L42" s="52" t="s">
        <v>82</v>
      </c>
      <c r="M42" s="53"/>
      <c r="N42" s="53"/>
      <c r="O42" s="59"/>
    </row>
    <row r="43" spans="2:15" ht="13.9" x14ac:dyDescent="0.35">
      <c r="B43" s="50" t="s">
        <v>80</v>
      </c>
      <c r="C43" s="51" t="s">
        <v>81</v>
      </c>
      <c r="D43" s="52" t="s">
        <v>8</v>
      </c>
      <c r="E43" s="52" t="s">
        <v>34</v>
      </c>
      <c r="F43" s="53">
        <v>3</v>
      </c>
      <c r="G43" s="53">
        <v>5580</v>
      </c>
      <c r="H43" s="33" t="str">
        <f>VLOOKUP(B43,Sheet1!A:B,2,0)</f>
        <v>Guangdong</v>
      </c>
      <c r="I43" s="33" t="str">
        <f>VLOOKUP(C43,Sheet1!C:D,2,0)</f>
        <v>Dongguan</v>
      </c>
      <c r="J43" s="52" t="s">
        <v>8</v>
      </c>
      <c r="K43" s="52" t="s">
        <v>35</v>
      </c>
      <c r="L43" s="52" t="s">
        <v>83</v>
      </c>
      <c r="M43" s="53"/>
      <c r="N43" s="53"/>
      <c r="O43" s="59"/>
    </row>
    <row r="44" spans="2:15" ht="13.9" x14ac:dyDescent="0.35">
      <c r="B44" s="50" t="s">
        <v>80</v>
      </c>
      <c r="C44" s="51" t="s">
        <v>81</v>
      </c>
      <c r="D44" s="52" t="s">
        <v>9</v>
      </c>
      <c r="E44" s="52" t="s">
        <v>34</v>
      </c>
      <c r="F44" s="53">
        <v>3</v>
      </c>
      <c r="G44" s="53">
        <v>6960</v>
      </c>
      <c r="H44" s="33" t="str">
        <f>VLOOKUP(B44,Sheet1!A:B,2,0)</f>
        <v>Guangdong</v>
      </c>
      <c r="I44" s="33" t="str">
        <f>VLOOKUP(C44,Sheet1!C:D,2,0)</f>
        <v>Dongguan</v>
      </c>
      <c r="J44" s="52" t="s">
        <v>9</v>
      </c>
      <c r="K44" s="52" t="s">
        <v>35</v>
      </c>
      <c r="L44" s="52" t="s">
        <v>84</v>
      </c>
      <c r="M44" s="53"/>
      <c r="N44" s="53"/>
      <c r="O44" s="59"/>
    </row>
    <row r="45" spans="2:15" ht="13.9" x14ac:dyDescent="0.35">
      <c r="B45" s="50" t="s">
        <v>80</v>
      </c>
      <c r="C45" s="51" t="s">
        <v>81</v>
      </c>
      <c r="D45" s="52" t="s">
        <v>10</v>
      </c>
      <c r="E45" s="52" t="s">
        <v>34</v>
      </c>
      <c r="F45" s="53">
        <v>3</v>
      </c>
      <c r="G45" s="53">
        <v>8200</v>
      </c>
      <c r="H45" s="33" t="str">
        <f>VLOOKUP(B45,Sheet1!A:B,2,0)</f>
        <v>Guangdong</v>
      </c>
      <c r="I45" s="33" t="str">
        <f>VLOOKUP(C45,Sheet1!C:D,2,0)</f>
        <v>Dongguan</v>
      </c>
      <c r="J45" s="52" t="s">
        <v>10</v>
      </c>
      <c r="K45" s="52" t="s">
        <v>35</v>
      </c>
      <c r="L45" s="52" t="s">
        <v>85</v>
      </c>
      <c r="M45" s="53"/>
      <c r="N45" s="53"/>
      <c r="O45" s="59"/>
    </row>
    <row r="46" spans="2:15" ht="13.9" x14ac:dyDescent="0.35">
      <c r="B46" s="50" t="s">
        <v>80</v>
      </c>
      <c r="C46" s="51" t="s">
        <v>81</v>
      </c>
      <c r="D46" s="52" t="s">
        <v>11</v>
      </c>
      <c r="E46" s="52" t="s">
        <v>34</v>
      </c>
      <c r="F46" s="53">
        <v>3</v>
      </c>
      <c r="G46" s="53">
        <v>8200</v>
      </c>
      <c r="H46" s="33" t="str">
        <f>VLOOKUP(B46,Sheet1!A:B,2,0)</f>
        <v>Guangdong</v>
      </c>
      <c r="I46" s="33" t="str">
        <f>VLOOKUP(C46,Sheet1!C:D,2,0)</f>
        <v>Dongguan</v>
      </c>
      <c r="J46" s="52" t="s">
        <v>11</v>
      </c>
      <c r="K46" s="52" t="s">
        <v>35</v>
      </c>
      <c r="L46" s="52" t="s">
        <v>86</v>
      </c>
      <c r="M46" s="53"/>
      <c r="N46" s="53"/>
      <c r="O46" s="59"/>
    </row>
    <row r="47" spans="2:15" ht="13.9" x14ac:dyDescent="0.35">
      <c r="B47" s="50" t="s">
        <v>80</v>
      </c>
      <c r="C47" s="51" t="s">
        <v>81</v>
      </c>
      <c r="D47" s="52" t="s">
        <v>4</v>
      </c>
      <c r="E47" s="52" t="s">
        <v>34</v>
      </c>
      <c r="F47" s="53">
        <v>3</v>
      </c>
      <c r="G47" s="53">
        <v>3360</v>
      </c>
      <c r="H47" s="33" t="str">
        <f>VLOOKUP(B47,Sheet1!A:B,2,0)</f>
        <v>Guangdong</v>
      </c>
      <c r="I47" s="33" t="str">
        <f>VLOOKUP(C47,Sheet1!C:D,2,0)</f>
        <v>Dongguan</v>
      </c>
      <c r="J47" s="52" t="s">
        <v>4</v>
      </c>
      <c r="K47" s="52" t="s">
        <v>35</v>
      </c>
      <c r="L47" s="52" t="s">
        <v>87</v>
      </c>
      <c r="M47" s="53"/>
      <c r="N47" s="53"/>
      <c r="O47" s="59"/>
    </row>
    <row r="48" spans="2:15" ht="13.9" x14ac:dyDescent="0.35">
      <c r="B48" s="50" t="s">
        <v>80</v>
      </c>
      <c r="C48" s="51" t="s">
        <v>81</v>
      </c>
      <c r="D48" s="52" t="s">
        <v>5</v>
      </c>
      <c r="E48" s="52" t="s">
        <v>34</v>
      </c>
      <c r="F48" s="53">
        <v>3</v>
      </c>
      <c r="G48" s="53">
        <v>4320</v>
      </c>
      <c r="H48" s="33" t="str">
        <f>VLOOKUP(B48,Sheet1!A:B,2,0)</f>
        <v>Guangdong</v>
      </c>
      <c r="I48" s="33" t="str">
        <f>VLOOKUP(C48,Sheet1!C:D,2,0)</f>
        <v>Dongguan</v>
      </c>
      <c r="J48" s="52" t="s">
        <v>5</v>
      </c>
      <c r="K48" s="52" t="s">
        <v>35</v>
      </c>
      <c r="L48" s="52" t="s">
        <v>88</v>
      </c>
      <c r="M48" s="53"/>
      <c r="N48" s="53"/>
      <c r="O48" s="59"/>
    </row>
    <row r="49" spans="2:15" ht="13.9" x14ac:dyDescent="0.35">
      <c r="B49" s="50" t="s">
        <v>80</v>
      </c>
      <c r="C49" s="51" t="s">
        <v>81</v>
      </c>
      <c r="D49" s="52" t="s">
        <v>6</v>
      </c>
      <c r="E49" s="52" t="s">
        <v>34</v>
      </c>
      <c r="F49" s="53">
        <v>3</v>
      </c>
      <c r="G49" s="53">
        <v>5280</v>
      </c>
      <c r="H49" s="33" t="str">
        <f>VLOOKUP(B49,Sheet1!A:B,2,0)</f>
        <v>Guangdong</v>
      </c>
      <c r="I49" s="33" t="str">
        <f>VLOOKUP(C49,Sheet1!C:D,2,0)</f>
        <v>Dongguan</v>
      </c>
      <c r="J49" s="52" t="s">
        <v>6</v>
      </c>
      <c r="K49" s="52" t="s">
        <v>35</v>
      </c>
      <c r="L49" s="52" t="s">
        <v>89</v>
      </c>
      <c r="M49" s="53"/>
      <c r="N49" s="53"/>
      <c r="O49" s="59"/>
    </row>
    <row r="50" spans="2:15" ht="13.9" x14ac:dyDescent="0.35">
      <c r="B50" s="50" t="s">
        <v>80</v>
      </c>
      <c r="C50" s="51" t="s">
        <v>81</v>
      </c>
      <c r="D50" s="52" t="s">
        <v>90</v>
      </c>
      <c r="E50" s="52" t="s">
        <v>91</v>
      </c>
      <c r="F50" s="53"/>
      <c r="G50" s="53"/>
      <c r="H50" s="33" t="str">
        <f>VLOOKUP(B50,Sheet1!A:B,2,0)</f>
        <v>Guangdong</v>
      </c>
      <c r="I50" s="33" t="str">
        <f>VLOOKUP(C50,Sheet1!C:D,2,0)</f>
        <v>Dongguan</v>
      </c>
      <c r="J50" s="52" t="s">
        <v>90</v>
      </c>
      <c r="K50" s="52" t="s">
        <v>92</v>
      </c>
      <c r="L50" s="52" t="s">
        <v>93</v>
      </c>
      <c r="M50" s="53"/>
      <c r="N50" s="53"/>
      <c r="O50" s="59"/>
    </row>
    <row r="51" spans="2:15" ht="13.9" x14ac:dyDescent="0.35">
      <c r="B51" s="50" t="s">
        <v>80</v>
      </c>
      <c r="C51" s="51" t="s">
        <v>81</v>
      </c>
      <c r="D51" s="52" t="s">
        <v>94</v>
      </c>
      <c r="E51" s="52" t="s">
        <v>91</v>
      </c>
      <c r="F51" s="53"/>
      <c r="G51" s="53"/>
      <c r="H51" s="33" t="str">
        <f>VLOOKUP(B51,Sheet1!A:B,2,0)</f>
        <v>Guangdong</v>
      </c>
      <c r="I51" s="33" t="str">
        <f>VLOOKUP(C51,Sheet1!C:D,2,0)</f>
        <v>Dongguan</v>
      </c>
      <c r="J51" s="52" t="s">
        <v>94</v>
      </c>
      <c r="K51" s="52" t="s">
        <v>92</v>
      </c>
      <c r="L51" s="52" t="s">
        <v>95</v>
      </c>
      <c r="M51" s="53"/>
      <c r="N51" s="53"/>
      <c r="O51" s="59"/>
    </row>
    <row r="52" spans="2:15" ht="13.9" x14ac:dyDescent="0.35">
      <c r="B52" s="50" t="s">
        <v>80</v>
      </c>
      <c r="C52" s="51" t="s">
        <v>81</v>
      </c>
      <c r="D52" s="52" t="s">
        <v>96</v>
      </c>
      <c r="E52" s="52" t="s">
        <v>97</v>
      </c>
      <c r="F52" s="53"/>
      <c r="G52" s="53"/>
      <c r="H52" s="33" t="str">
        <f>VLOOKUP(B52,Sheet1!A:B,2,0)</f>
        <v>Guangdong</v>
      </c>
      <c r="I52" s="33" t="str">
        <f>VLOOKUP(C52,Sheet1!C:D,2,0)</f>
        <v>Dongguan</v>
      </c>
      <c r="J52" s="52" t="s">
        <v>96</v>
      </c>
      <c r="K52" s="52" t="s">
        <v>98</v>
      </c>
      <c r="L52" s="52" t="s">
        <v>99</v>
      </c>
      <c r="M52" s="53"/>
      <c r="N52" s="53"/>
      <c r="O52" s="59"/>
    </row>
    <row r="53" spans="2:15" ht="13.9" x14ac:dyDescent="0.35">
      <c r="B53" s="50" t="s">
        <v>80</v>
      </c>
      <c r="C53" s="51" t="s">
        <v>81</v>
      </c>
      <c r="D53" s="50" t="s">
        <v>47</v>
      </c>
      <c r="E53" s="52" t="s">
        <v>48</v>
      </c>
      <c r="F53" s="53">
        <v>3</v>
      </c>
      <c r="G53" s="53">
        <v>8200</v>
      </c>
      <c r="H53" s="33" t="str">
        <f>VLOOKUP(B53,Sheet1!A:B,2,0)</f>
        <v>Guangdong</v>
      </c>
      <c r="I53" s="33" t="str">
        <f>VLOOKUP(C53,Sheet1!C:D,2,0)</f>
        <v>Dongguan</v>
      </c>
      <c r="J53" s="50" t="s">
        <v>49</v>
      </c>
      <c r="K53" s="52" t="s">
        <v>50</v>
      </c>
      <c r="L53" s="52" t="s">
        <v>100</v>
      </c>
      <c r="M53" s="53"/>
      <c r="N53" s="53"/>
      <c r="O53" s="59"/>
    </row>
    <row r="54" spans="2:15" ht="13.9" x14ac:dyDescent="0.35">
      <c r="B54" s="50" t="s">
        <v>80</v>
      </c>
      <c r="C54" s="51" t="s">
        <v>101</v>
      </c>
      <c r="D54" s="50" t="s">
        <v>4</v>
      </c>
      <c r="E54" s="52" t="s">
        <v>34</v>
      </c>
      <c r="F54" s="53">
        <v>3</v>
      </c>
      <c r="G54" s="53">
        <v>3600</v>
      </c>
      <c r="H54" s="33" t="str">
        <f>VLOOKUP(B54,Sheet1!A:B,2,0)</f>
        <v>Guangdong</v>
      </c>
      <c r="I54" s="33" t="str">
        <f>VLOOKUP(C54,Sheet1!C:D,2,0)</f>
        <v>Foshan</v>
      </c>
      <c r="J54" s="50" t="s">
        <v>4</v>
      </c>
      <c r="K54" s="52" t="s">
        <v>35</v>
      </c>
      <c r="L54" s="52" t="s">
        <v>102</v>
      </c>
      <c r="M54" s="53"/>
      <c r="N54" s="53"/>
      <c r="O54" s="59"/>
    </row>
    <row r="55" spans="2:15" ht="13.9" x14ac:dyDescent="0.35">
      <c r="B55" s="50" t="s">
        <v>80</v>
      </c>
      <c r="C55" s="51" t="s">
        <v>101</v>
      </c>
      <c r="D55" s="52" t="s">
        <v>5</v>
      </c>
      <c r="E55" s="52" t="s">
        <v>34</v>
      </c>
      <c r="F55" s="53">
        <v>3</v>
      </c>
      <c r="G55" s="53">
        <v>4440</v>
      </c>
      <c r="H55" s="33" t="str">
        <f>VLOOKUP(B55,Sheet1!A:B,2,0)</f>
        <v>Guangdong</v>
      </c>
      <c r="I55" s="33" t="str">
        <f>VLOOKUP(C55,Sheet1!C:D,2,0)</f>
        <v>Foshan</v>
      </c>
      <c r="J55" s="52" t="s">
        <v>5</v>
      </c>
      <c r="K55" s="52" t="s">
        <v>35</v>
      </c>
      <c r="L55" s="52" t="s">
        <v>103</v>
      </c>
      <c r="M55" s="53"/>
      <c r="N55" s="53"/>
      <c r="O55" s="59"/>
    </row>
    <row r="56" spans="2:15" ht="13.9" x14ac:dyDescent="0.35">
      <c r="B56" s="50" t="s">
        <v>80</v>
      </c>
      <c r="C56" s="51" t="s">
        <v>101</v>
      </c>
      <c r="D56" s="50" t="s">
        <v>96</v>
      </c>
      <c r="E56" s="52" t="s">
        <v>97</v>
      </c>
      <c r="F56" s="53"/>
      <c r="G56" s="53"/>
      <c r="H56" s="33" t="str">
        <f>VLOOKUP(B56,Sheet1!A:B,2,0)</f>
        <v>Guangdong</v>
      </c>
      <c r="I56" s="33" t="str">
        <f>VLOOKUP(C56,Sheet1!C:D,2,0)</f>
        <v>Foshan</v>
      </c>
      <c r="J56" s="50" t="s">
        <v>96</v>
      </c>
      <c r="K56" s="52" t="s">
        <v>98</v>
      </c>
      <c r="L56" s="52" t="s">
        <v>104</v>
      </c>
      <c r="M56" s="53"/>
      <c r="N56" s="53"/>
      <c r="O56" s="59"/>
    </row>
    <row r="57" spans="2:15" ht="13.9" x14ac:dyDescent="0.35">
      <c r="B57" s="50" t="s">
        <v>80</v>
      </c>
      <c r="C57" s="51" t="s">
        <v>101</v>
      </c>
      <c r="D57" s="50" t="s">
        <v>105</v>
      </c>
      <c r="E57" s="52" t="s">
        <v>97</v>
      </c>
      <c r="F57" s="53"/>
      <c r="G57" s="53"/>
      <c r="H57" s="33" t="str">
        <f>VLOOKUP(B57,Sheet1!A:B,2,0)</f>
        <v>Guangdong</v>
      </c>
      <c r="I57" s="33" t="str">
        <f>VLOOKUP(C57,Sheet1!C:D,2,0)</f>
        <v>Foshan</v>
      </c>
      <c r="J57" s="50" t="s">
        <v>105</v>
      </c>
      <c r="K57" s="52" t="s">
        <v>98</v>
      </c>
      <c r="L57" s="52" t="s">
        <v>106</v>
      </c>
      <c r="M57" s="53"/>
      <c r="N57" s="53"/>
      <c r="O57" s="59"/>
    </row>
    <row r="58" spans="2:15" ht="13.9" x14ac:dyDescent="0.35">
      <c r="B58" s="50" t="s">
        <v>80</v>
      </c>
      <c r="C58" s="51" t="s">
        <v>107</v>
      </c>
      <c r="D58" s="52" t="s">
        <v>7</v>
      </c>
      <c r="E58" s="52" t="s">
        <v>34</v>
      </c>
      <c r="F58" s="53">
        <v>3</v>
      </c>
      <c r="G58" s="53">
        <v>4860</v>
      </c>
      <c r="H58" s="33" t="str">
        <f>VLOOKUP(B58,Sheet1!A:B,2,0)</f>
        <v>Guangdong</v>
      </c>
      <c r="I58" s="33" t="str">
        <f>VLOOKUP(C58,Sheet1!C:D,2,0)</f>
        <v>Heyuan</v>
      </c>
      <c r="J58" s="52" t="s">
        <v>7</v>
      </c>
      <c r="K58" s="52" t="s">
        <v>35</v>
      </c>
      <c r="L58" s="52" t="s">
        <v>108</v>
      </c>
      <c r="M58" s="53"/>
      <c r="N58" s="53"/>
      <c r="O58" s="59"/>
    </row>
    <row r="59" spans="2:15" ht="13.9" x14ac:dyDescent="0.35">
      <c r="B59" s="50" t="s">
        <v>80</v>
      </c>
      <c r="C59" s="51" t="s">
        <v>107</v>
      </c>
      <c r="D59" s="52" t="s">
        <v>11</v>
      </c>
      <c r="E59" s="52" t="s">
        <v>34</v>
      </c>
      <c r="F59" s="53">
        <v>3</v>
      </c>
      <c r="G59" s="53">
        <v>8200</v>
      </c>
      <c r="H59" s="33" t="str">
        <f>VLOOKUP(B59,Sheet1!A:B,2,0)</f>
        <v>Guangdong</v>
      </c>
      <c r="I59" s="33" t="str">
        <f>VLOOKUP(C59,Sheet1!C:D,2,0)</f>
        <v>Heyuan</v>
      </c>
      <c r="J59" s="52" t="s">
        <v>11</v>
      </c>
      <c r="K59" s="52" t="s">
        <v>35</v>
      </c>
      <c r="L59" s="52" t="s">
        <v>109</v>
      </c>
      <c r="M59" s="53"/>
      <c r="N59" s="53"/>
      <c r="O59" s="59"/>
    </row>
    <row r="60" spans="2:15" ht="13.9" x14ac:dyDescent="0.35">
      <c r="B60" s="50" t="s">
        <v>80</v>
      </c>
      <c r="C60" s="51" t="s">
        <v>107</v>
      </c>
      <c r="D60" s="52" t="s">
        <v>4</v>
      </c>
      <c r="E60" s="52" t="s">
        <v>34</v>
      </c>
      <c r="F60" s="53">
        <v>3</v>
      </c>
      <c r="G60" s="53">
        <v>3120</v>
      </c>
      <c r="H60" s="33" t="str">
        <f>VLOOKUP(B60,Sheet1!A:B,2,0)</f>
        <v>Guangdong</v>
      </c>
      <c r="I60" s="33" t="str">
        <f>VLOOKUP(C60,Sheet1!C:D,2,0)</f>
        <v>Heyuan</v>
      </c>
      <c r="J60" s="52" t="s">
        <v>4</v>
      </c>
      <c r="K60" s="52" t="s">
        <v>35</v>
      </c>
      <c r="L60" s="52" t="s">
        <v>110</v>
      </c>
      <c r="M60" s="53"/>
      <c r="N60" s="53"/>
      <c r="O60" s="59"/>
    </row>
    <row r="61" spans="2:15" ht="13.9" x14ac:dyDescent="0.35">
      <c r="B61" s="50" t="s">
        <v>80</v>
      </c>
      <c r="C61" s="51" t="s">
        <v>107</v>
      </c>
      <c r="D61" s="52" t="s">
        <v>111</v>
      </c>
      <c r="E61" s="52" t="s">
        <v>91</v>
      </c>
      <c r="F61" s="53"/>
      <c r="G61" s="53"/>
      <c r="H61" s="33" t="str">
        <f>VLOOKUP(B61,Sheet1!A:B,2,0)</f>
        <v>Guangdong</v>
      </c>
      <c r="I61" s="33" t="str">
        <f>VLOOKUP(C61,Sheet1!C:D,2,0)</f>
        <v>Heyuan</v>
      </c>
      <c r="J61" s="52" t="s">
        <v>111</v>
      </c>
      <c r="K61" s="52" t="s">
        <v>92</v>
      </c>
      <c r="L61" s="52" t="s">
        <v>112</v>
      </c>
      <c r="M61" s="53"/>
      <c r="N61" s="53"/>
      <c r="O61" s="59"/>
    </row>
    <row r="62" spans="2:15" ht="13.9" x14ac:dyDescent="0.35">
      <c r="B62" s="50" t="s">
        <v>80</v>
      </c>
      <c r="C62" s="51" t="s">
        <v>113</v>
      </c>
      <c r="D62" s="52" t="s">
        <v>114</v>
      </c>
      <c r="E62" s="52" t="s">
        <v>91</v>
      </c>
      <c r="F62" s="53"/>
      <c r="G62" s="53"/>
      <c r="H62" s="33" t="str">
        <f>VLOOKUP(B62,Sheet1!A:B,2,0)</f>
        <v>Guangdong</v>
      </c>
      <c r="I62" s="33" t="str">
        <f>VLOOKUP(C62,Sheet1!C:D,2,0)</f>
        <v>Huizhou</v>
      </c>
      <c r="J62" s="52" t="s">
        <v>114</v>
      </c>
      <c r="K62" s="52" t="s">
        <v>92</v>
      </c>
      <c r="L62" s="52" t="s">
        <v>115</v>
      </c>
      <c r="M62" s="53"/>
      <c r="N62" s="53"/>
      <c r="O62" s="59"/>
    </row>
    <row r="63" spans="2:15" ht="13.9" x14ac:dyDescent="0.35">
      <c r="B63" s="50" t="s">
        <v>80</v>
      </c>
      <c r="C63" s="51" t="s">
        <v>113</v>
      </c>
      <c r="D63" s="50" t="s">
        <v>8</v>
      </c>
      <c r="E63" s="52" t="s">
        <v>34</v>
      </c>
      <c r="F63" s="53">
        <v>3</v>
      </c>
      <c r="G63" s="53">
        <v>5280</v>
      </c>
      <c r="H63" s="33" t="str">
        <f>VLOOKUP(B63,Sheet1!A:B,2,0)</f>
        <v>Guangdong</v>
      </c>
      <c r="I63" s="33" t="str">
        <f>VLOOKUP(C63,Sheet1!C:D,2,0)</f>
        <v>Huizhou</v>
      </c>
      <c r="J63" s="50" t="s">
        <v>8</v>
      </c>
      <c r="K63" s="52" t="s">
        <v>35</v>
      </c>
      <c r="L63" s="52" t="s">
        <v>116</v>
      </c>
      <c r="M63" s="53"/>
      <c r="N63" s="53"/>
      <c r="O63" s="59"/>
    </row>
    <row r="64" spans="2:15" ht="13.9" x14ac:dyDescent="0.35">
      <c r="B64" s="50" t="s">
        <v>80</v>
      </c>
      <c r="C64" s="51" t="s">
        <v>113</v>
      </c>
      <c r="D64" s="50" t="s">
        <v>9</v>
      </c>
      <c r="E64" s="52" t="s">
        <v>34</v>
      </c>
      <c r="F64" s="53">
        <v>3</v>
      </c>
      <c r="G64" s="53">
        <v>6960</v>
      </c>
      <c r="H64" s="33" t="str">
        <f>VLOOKUP(B64,Sheet1!A:B,2,0)</f>
        <v>Guangdong</v>
      </c>
      <c r="I64" s="33" t="str">
        <f>VLOOKUP(C64,Sheet1!C:D,2,0)</f>
        <v>Huizhou</v>
      </c>
      <c r="J64" s="50" t="s">
        <v>9</v>
      </c>
      <c r="K64" s="52" t="s">
        <v>35</v>
      </c>
      <c r="L64" s="52" t="s">
        <v>117</v>
      </c>
      <c r="M64" s="53"/>
      <c r="N64" s="53"/>
      <c r="O64" s="59"/>
    </row>
    <row r="65" spans="2:15" ht="13.9" x14ac:dyDescent="0.35">
      <c r="B65" s="50" t="s">
        <v>80</v>
      </c>
      <c r="C65" s="51" t="s">
        <v>113</v>
      </c>
      <c r="D65" s="50" t="s">
        <v>11</v>
      </c>
      <c r="E65" s="52" t="s">
        <v>34</v>
      </c>
      <c r="F65" s="53">
        <v>3</v>
      </c>
      <c r="G65" s="53">
        <v>8100</v>
      </c>
      <c r="H65" s="33" t="str">
        <f>VLOOKUP(B65,Sheet1!A:B,2,0)</f>
        <v>Guangdong</v>
      </c>
      <c r="I65" s="33" t="str">
        <f>VLOOKUP(C65,Sheet1!C:D,2,0)</f>
        <v>Huizhou</v>
      </c>
      <c r="J65" s="50" t="s">
        <v>11</v>
      </c>
      <c r="K65" s="52" t="s">
        <v>35</v>
      </c>
      <c r="L65" s="52" t="s">
        <v>118</v>
      </c>
      <c r="M65" s="53"/>
      <c r="N65" s="53"/>
      <c r="O65" s="59"/>
    </row>
    <row r="66" spans="2:15" ht="13.9" x14ac:dyDescent="0.35">
      <c r="B66" s="50" t="s">
        <v>80</v>
      </c>
      <c r="C66" s="51" t="s">
        <v>113</v>
      </c>
      <c r="D66" s="52" t="s">
        <v>4</v>
      </c>
      <c r="E66" s="52" t="s">
        <v>34</v>
      </c>
      <c r="F66" s="53">
        <v>3</v>
      </c>
      <c r="G66" s="53">
        <v>3240</v>
      </c>
      <c r="H66" s="33" t="str">
        <f>VLOOKUP(B66,Sheet1!A:B,2,0)</f>
        <v>Guangdong</v>
      </c>
      <c r="I66" s="33" t="str">
        <f>VLOOKUP(C66,Sheet1!C:D,2,0)</f>
        <v>Huizhou</v>
      </c>
      <c r="J66" s="52" t="s">
        <v>4</v>
      </c>
      <c r="K66" s="52" t="s">
        <v>35</v>
      </c>
      <c r="L66" s="52" t="s">
        <v>119</v>
      </c>
      <c r="M66" s="53"/>
      <c r="N66" s="53"/>
      <c r="O66" s="59"/>
    </row>
    <row r="67" spans="2:15" ht="13.9" x14ac:dyDescent="0.35">
      <c r="B67" s="50" t="s">
        <v>80</v>
      </c>
      <c r="C67" s="51" t="s">
        <v>113</v>
      </c>
      <c r="D67" s="52" t="s">
        <v>5</v>
      </c>
      <c r="E67" s="52" t="s">
        <v>34</v>
      </c>
      <c r="F67" s="53">
        <v>3</v>
      </c>
      <c r="G67" s="53">
        <v>4320</v>
      </c>
      <c r="H67" s="33" t="str">
        <f>VLOOKUP(B67,Sheet1!A:B,2,0)</f>
        <v>Guangdong</v>
      </c>
      <c r="I67" s="33" t="str">
        <f>VLOOKUP(C67,Sheet1!C:D,2,0)</f>
        <v>Huizhou</v>
      </c>
      <c r="J67" s="52" t="s">
        <v>5</v>
      </c>
      <c r="K67" s="52" t="s">
        <v>35</v>
      </c>
      <c r="L67" s="52" t="s">
        <v>120</v>
      </c>
      <c r="M67" s="53"/>
      <c r="N67" s="53"/>
      <c r="O67" s="59"/>
    </row>
    <row r="68" spans="2:15" ht="13.9" x14ac:dyDescent="0.35">
      <c r="B68" s="50" t="s">
        <v>80</v>
      </c>
      <c r="C68" s="51" t="s">
        <v>113</v>
      </c>
      <c r="D68" s="52" t="s">
        <v>6</v>
      </c>
      <c r="E68" s="52" t="s">
        <v>34</v>
      </c>
      <c r="F68" s="53">
        <v>3</v>
      </c>
      <c r="G68" s="53">
        <v>5040</v>
      </c>
      <c r="H68" s="33" t="str">
        <f>VLOOKUP(B68,Sheet1!A:B,2,0)</f>
        <v>Guangdong</v>
      </c>
      <c r="I68" s="33" t="str">
        <f>VLOOKUP(C68,Sheet1!C:D,2,0)</f>
        <v>Huizhou</v>
      </c>
      <c r="J68" s="52" t="s">
        <v>6</v>
      </c>
      <c r="K68" s="52" t="s">
        <v>35</v>
      </c>
      <c r="L68" s="52" t="s">
        <v>121</v>
      </c>
      <c r="M68" s="53"/>
      <c r="N68" s="53"/>
      <c r="O68" s="59"/>
    </row>
    <row r="69" spans="2:15" ht="13.9" x14ac:dyDescent="0.35">
      <c r="B69" s="50" t="s">
        <v>80</v>
      </c>
      <c r="C69" s="51" t="s">
        <v>113</v>
      </c>
      <c r="D69" s="50" t="s">
        <v>47</v>
      </c>
      <c r="E69" s="52" t="s">
        <v>48</v>
      </c>
      <c r="F69" s="53">
        <v>3</v>
      </c>
      <c r="G69" s="53">
        <v>8100</v>
      </c>
      <c r="H69" s="33" t="str">
        <f>VLOOKUP(B69,Sheet1!A:B,2,0)</f>
        <v>Guangdong</v>
      </c>
      <c r="I69" s="33" t="str">
        <f>VLOOKUP(C69,Sheet1!C:D,2,0)</f>
        <v>Huizhou</v>
      </c>
      <c r="J69" s="50" t="s">
        <v>49</v>
      </c>
      <c r="K69" s="52" t="s">
        <v>50</v>
      </c>
      <c r="L69" s="52" t="s">
        <v>122</v>
      </c>
      <c r="M69" s="53"/>
      <c r="N69" s="53"/>
      <c r="O69" s="59"/>
    </row>
    <row r="70" spans="2:15" ht="13.9" x14ac:dyDescent="0.35">
      <c r="B70" s="50" t="s">
        <v>80</v>
      </c>
      <c r="C70" s="51" t="s">
        <v>123</v>
      </c>
      <c r="D70" s="52" t="s">
        <v>4</v>
      </c>
      <c r="E70" s="52" t="s">
        <v>34</v>
      </c>
      <c r="F70" s="53">
        <v>3</v>
      </c>
      <c r="G70" s="53">
        <v>3600</v>
      </c>
      <c r="H70" s="33" t="str">
        <f>VLOOKUP(B70,Sheet1!A:B,2,0)</f>
        <v>Guangdong</v>
      </c>
      <c r="I70" s="33" t="str">
        <f>VLOOKUP(C70,Sheet1!C:D,2,0)</f>
        <v>Jiangmen</v>
      </c>
      <c r="J70" s="52" t="s">
        <v>4</v>
      </c>
      <c r="K70" s="52" t="s">
        <v>35</v>
      </c>
      <c r="L70" s="52" t="s">
        <v>124</v>
      </c>
      <c r="M70" s="53"/>
      <c r="N70" s="53"/>
      <c r="O70" s="59"/>
    </row>
    <row r="71" spans="2:15" ht="13.9" x14ac:dyDescent="0.35">
      <c r="B71" s="50" t="s">
        <v>80</v>
      </c>
      <c r="C71" s="51" t="s">
        <v>125</v>
      </c>
      <c r="D71" s="52" t="s">
        <v>7</v>
      </c>
      <c r="E71" s="52" t="s">
        <v>34</v>
      </c>
      <c r="F71" s="53">
        <v>3</v>
      </c>
      <c r="G71" s="53">
        <v>4800</v>
      </c>
      <c r="H71" s="33" t="str">
        <f>VLOOKUP(B71,Sheet1!A:B,2,0)</f>
        <v>Guangdong</v>
      </c>
      <c r="I71" s="33" t="str">
        <f>VLOOKUP(C71,Sheet1!C:D,2,0)</f>
        <v>Shantou</v>
      </c>
      <c r="J71" s="52" t="s">
        <v>7</v>
      </c>
      <c r="K71" s="52" t="s">
        <v>35</v>
      </c>
      <c r="L71" s="52" t="s">
        <v>126</v>
      </c>
      <c r="M71" s="53"/>
      <c r="N71" s="53"/>
      <c r="O71" s="59"/>
    </row>
    <row r="72" spans="2:15" ht="13.9" x14ac:dyDescent="0.35">
      <c r="B72" s="50" t="s">
        <v>80</v>
      </c>
      <c r="C72" s="51" t="s">
        <v>125</v>
      </c>
      <c r="D72" s="50" t="s">
        <v>4</v>
      </c>
      <c r="E72" s="52" t="s">
        <v>34</v>
      </c>
      <c r="F72" s="53">
        <v>3</v>
      </c>
      <c r="G72" s="53">
        <v>3120</v>
      </c>
      <c r="H72" s="33" t="str">
        <f>VLOOKUP(B72,Sheet1!A:B,2,0)</f>
        <v>Guangdong</v>
      </c>
      <c r="I72" s="33" t="str">
        <f>VLOOKUP(C72,Sheet1!C:D,2,0)</f>
        <v>Shantou</v>
      </c>
      <c r="J72" s="50" t="s">
        <v>4</v>
      </c>
      <c r="K72" s="52" t="s">
        <v>35</v>
      </c>
      <c r="L72" s="52" t="s">
        <v>127</v>
      </c>
      <c r="M72" s="53"/>
      <c r="N72" s="53"/>
      <c r="O72" s="59"/>
    </row>
    <row r="73" spans="2:15" ht="13.9" x14ac:dyDescent="0.35">
      <c r="B73" s="50" t="s">
        <v>80</v>
      </c>
      <c r="C73" s="51" t="s">
        <v>125</v>
      </c>
      <c r="D73" s="50" t="s">
        <v>5</v>
      </c>
      <c r="E73" s="52" t="s">
        <v>34</v>
      </c>
      <c r="F73" s="53">
        <v>3</v>
      </c>
      <c r="G73" s="53">
        <v>3960</v>
      </c>
      <c r="H73" s="33" t="str">
        <f>VLOOKUP(B73,Sheet1!A:B,2,0)</f>
        <v>Guangdong</v>
      </c>
      <c r="I73" s="33" t="str">
        <f>VLOOKUP(C73,Sheet1!C:D,2,0)</f>
        <v>Shantou</v>
      </c>
      <c r="J73" s="50" t="s">
        <v>5</v>
      </c>
      <c r="K73" s="52" t="s">
        <v>35</v>
      </c>
      <c r="L73" s="52" t="s">
        <v>128</v>
      </c>
      <c r="M73" s="53"/>
      <c r="N73" s="53"/>
      <c r="O73" s="59"/>
    </row>
    <row r="74" spans="2:15" ht="13.9" x14ac:dyDescent="0.35">
      <c r="B74" s="50" t="s">
        <v>80</v>
      </c>
      <c r="C74" s="51" t="s">
        <v>125</v>
      </c>
      <c r="D74" s="52" t="s">
        <v>96</v>
      </c>
      <c r="E74" s="52" t="s">
        <v>97</v>
      </c>
      <c r="F74" s="53"/>
      <c r="G74" s="53"/>
      <c r="H74" s="33" t="str">
        <f>VLOOKUP(B74,Sheet1!A:B,2,0)</f>
        <v>Guangdong</v>
      </c>
      <c r="I74" s="33" t="str">
        <f>VLOOKUP(C74,Sheet1!C:D,2,0)</f>
        <v>Shantou</v>
      </c>
      <c r="J74" s="52" t="s">
        <v>96</v>
      </c>
      <c r="K74" s="52" t="s">
        <v>98</v>
      </c>
      <c r="L74" s="52" t="s">
        <v>129</v>
      </c>
      <c r="M74" s="53"/>
      <c r="N74" s="53"/>
      <c r="O74" s="59"/>
    </row>
    <row r="75" spans="2:15" ht="13.9" x14ac:dyDescent="0.35">
      <c r="B75" s="50" t="s">
        <v>80</v>
      </c>
      <c r="C75" s="51" t="s">
        <v>125</v>
      </c>
      <c r="D75" s="52" t="s">
        <v>105</v>
      </c>
      <c r="E75" s="52" t="s">
        <v>97</v>
      </c>
      <c r="F75" s="53"/>
      <c r="G75" s="53"/>
      <c r="H75" s="33" t="str">
        <f>VLOOKUP(B75,Sheet1!A:B,2,0)</f>
        <v>Guangdong</v>
      </c>
      <c r="I75" s="33" t="str">
        <f>VLOOKUP(C75,Sheet1!C:D,2,0)</f>
        <v>Shantou</v>
      </c>
      <c r="J75" s="52" t="s">
        <v>105</v>
      </c>
      <c r="K75" s="52" t="s">
        <v>98</v>
      </c>
      <c r="L75" s="52" t="s">
        <v>130</v>
      </c>
      <c r="M75" s="53"/>
      <c r="N75" s="53"/>
      <c r="O75" s="59"/>
    </row>
    <row r="76" spans="2:15" ht="13.9" x14ac:dyDescent="0.35">
      <c r="B76" s="50" t="s">
        <v>80</v>
      </c>
      <c r="C76" s="51" t="s">
        <v>125</v>
      </c>
      <c r="D76" s="50" t="s">
        <v>47</v>
      </c>
      <c r="E76" s="52" t="s">
        <v>48</v>
      </c>
      <c r="F76" s="53">
        <v>3</v>
      </c>
      <c r="G76" s="53">
        <v>8300</v>
      </c>
      <c r="H76" s="33" t="str">
        <f>VLOOKUP(B76,Sheet1!A:B,2,0)</f>
        <v>Guangdong</v>
      </c>
      <c r="I76" s="33" t="str">
        <f>VLOOKUP(C76,Sheet1!C:D,2,0)</f>
        <v>Shantou</v>
      </c>
      <c r="J76" s="50" t="s">
        <v>49</v>
      </c>
      <c r="K76" s="52" t="s">
        <v>50</v>
      </c>
      <c r="L76" s="52" t="s">
        <v>131</v>
      </c>
      <c r="M76" s="53"/>
      <c r="N76" s="53"/>
      <c r="O76" s="59"/>
    </row>
    <row r="77" spans="2:15" ht="13.9" x14ac:dyDescent="0.35">
      <c r="B77" s="50" t="s">
        <v>80</v>
      </c>
      <c r="C77" s="51" t="s">
        <v>132</v>
      </c>
      <c r="D77" s="52" t="s">
        <v>7</v>
      </c>
      <c r="E77" s="52" t="s">
        <v>34</v>
      </c>
      <c r="F77" s="53">
        <v>3</v>
      </c>
      <c r="G77" s="53">
        <v>5640</v>
      </c>
      <c r="H77" s="33" t="str">
        <f>VLOOKUP(B77,Sheet1!A:B,2,0)</f>
        <v>Guangdong</v>
      </c>
      <c r="I77" s="33" t="str">
        <f>VLOOKUP(C77,Sheet1!C:D,2,0)</f>
        <v>Shenzhen</v>
      </c>
      <c r="J77" s="52" t="s">
        <v>7</v>
      </c>
      <c r="K77" s="52" t="s">
        <v>35</v>
      </c>
      <c r="L77" s="52" t="s">
        <v>133</v>
      </c>
      <c r="M77" s="53"/>
      <c r="N77" s="53"/>
      <c r="O77" s="59"/>
    </row>
    <row r="78" spans="2:15" ht="13.9" x14ac:dyDescent="0.35">
      <c r="B78" s="50" t="s">
        <v>80</v>
      </c>
      <c r="C78" s="51" t="s">
        <v>132</v>
      </c>
      <c r="D78" s="50" t="s">
        <v>8</v>
      </c>
      <c r="E78" s="52" t="s">
        <v>34</v>
      </c>
      <c r="F78" s="53">
        <v>3</v>
      </c>
      <c r="G78" s="53">
        <v>5640</v>
      </c>
      <c r="H78" s="33" t="str">
        <f>VLOOKUP(B78,Sheet1!A:B,2,0)</f>
        <v>Guangdong</v>
      </c>
      <c r="I78" s="33" t="str">
        <f>VLOOKUP(C78,Sheet1!C:D,2,0)</f>
        <v>Shenzhen</v>
      </c>
      <c r="J78" s="50" t="s">
        <v>8</v>
      </c>
      <c r="K78" s="52" t="s">
        <v>35</v>
      </c>
      <c r="L78" s="52" t="s">
        <v>134</v>
      </c>
      <c r="M78" s="53"/>
      <c r="N78" s="53"/>
      <c r="O78" s="59"/>
    </row>
    <row r="79" spans="2:15" ht="13.9" x14ac:dyDescent="0.35">
      <c r="B79" s="50" t="s">
        <v>80</v>
      </c>
      <c r="C79" s="51" t="s">
        <v>132</v>
      </c>
      <c r="D79" s="52" t="s">
        <v>9</v>
      </c>
      <c r="E79" s="52" t="s">
        <v>34</v>
      </c>
      <c r="F79" s="53">
        <v>3</v>
      </c>
      <c r="G79" s="53">
        <v>7440</v>
      </c>
      <c r="H79" s="33" t="str">
        <f>VLOOKUP(B79,Sheet1!A:B,2,0)</f>
        <v>Guangdong</v>
      </c>
      <c r="I79" s="33" t="str">
        <f>VLOOKUP(C79,Sheet1!C:D,2,0)</f>
        <v>Shenzhen</v>
      </c>
      <c r="J79" s="52" t="s">
        <v>9</v>
      </c>
      <c r="K79" s="52" t="s">
        <v>35</v>
      </c>
      <c r="L79" s="52" t="s">
        <v>135</v>
      </c>
      <c r="M79" s="53"/>
      <c r="N79" s="53"/>
      <c r="O79" s="59"/>
    </row>
    <row r="80" spans="2:15" ht="13.9" x14ac:dyDescent="0.35">
      <c r="B80" s="50" t="s">
        <v>80</v>
      </c>
      <c r="C80" s="51" t="s">
        <v>132</v>
      </c>
      <c r="D80" s="52" t="s">
        <v>10</v>
      </c>
      <c r="E80" s="52" t="s">
        <v>34</v>
      </c>
      <c r="F80" s="53">
        <v>3</v>
      </c>
      <c r="G80" s="53">
        <v>8400</v>
      </c>
      <c r="H80" s="33" t="str">
        <f>VLOOKUP(B80,Sheet1!A:B,2,0)</f>
        <v>Guangdong</v>
      </c>
      <c r="I80" s="33" t="str">
        <f>VLOOKUP(C80,Sheet1!C:D,2,0)</f>
        <v>Shenzhen</v>
      </c>
      <c r="J80" s="52" t="s">
        <v>10</v>
      </c>
      <c r="K80" s="52" t="s">
        <v>35</v>
      </c>
      <c r="L80" s="52" t="s">
        <v>136</v>
      </c>
      <c r="M80" s="53"/>
      <c r="N80" s="53"/>
      <c r="O80" s="59"/>
    </row>
    <row r="81" spans="2:15" ht="13.9" x14ac:dyDescent="0.35">
      <c r="B81" s="50" t="s">
        <v>80</v>
      </c>
      <c r="C81" s="51" t="s">
        <v>132</v>
      </c>
      <c r="D81" s="52" t="s">
        <v>11</v>
      </c>
      <c r="E81" s="52" t="s">
        <v>34</v>
      </c>
      <c r="F81" s="53">
        <v>3</v>
      </c>
      <c r="G81" s="53">
        <v>8400</v>
      </c>
      <c r="H81" s="33" t="str">
        <f>VLOOKUP(B81,Sheet1!A:B,2,0)</f>
        <v>Guangdong</v>
      </c>
      <c r="I81" s="33" t="str">
        <f>VLOOKUP(C81,Sheet1!C:D,2,0)</f>
        <v>Shenzhen</v>
      </c>
      <c r="J81" s="52" t="s">
        <v>11</v>
      </c>
      <c r="K81" s="52" t="s">
        <v>35</v>
      </c>
      <c r="L81" s="52" t="s">
        <v>137</v>
      </c>
      <c r="M81" s="53"/>
      <c r="N81" s="53"/>
      <c r="O81" s="59"/>
    </row>
    <row r="82" spans="2:15" ht="13.9" x14ac:dyDescent="0.35">
      <c r="B82" s="50" t="s">
        <v>80</v>
      </c>
      <c r="C82" s="51" t="s">
        <v>132</v>
      </c>
      <c r="D82" s="52" t="s">
        <v>4</v>
      </c>
      <c r="E82" s="52" t="s">
        <v>34</v>
      </c>
      <c r="F82" s="53">
        <v>3</v>
      </c>
      <c r="G82" s="53">
        <v>3420</v>
      </c>
      <c r="H82" s="33" t="str">
        <f>VLOOKUP(B82,Sheet1!A:B,2,0)</f>
        <v>Guangdong</v>
      </c>
      <c r="I82" s="33" t="str">
        <f>VLOOKUP(C82,Sheet1!C:D,2,0)</f>
        <v>Shenzhen</v>
      </c>
      <c r="J82" s="52" t="s">
        <v>4</v>
      </c>
      <c r="K82" s="52" t="s">
        <v>35</v>
      </c>
      <c r="L82" s="52" t="s">
        <v>138</v>
      </c>
      <c r="M82" s="53"/>
      <c r="N82" s="53"/>
      <c r="O82" s="59"/>
    </row>
    <row r="83" spans="2:15" ht="13.9" x14ac:dyDescent="0.35">
      <c r="B83" s="50" t="s">
        <v>80</v>
      </c>
      <c r="C83" s="51" t="s">
        <v>132</v>
      </c>
      <c r="D83" s="52" t="s">
        <v>5</v>
      </c>
      <c r="E83" s="52" t="s">
        <v>34</v>
      </c>
      <c r="F83" s="53">
        <v>3</v>
      </c>
      <c r="G83" s="53">
        <v>4512</v>
      </c>
      <c r="H83" s="33" t="str">
        <f>VLOOKUP(B83,Sheet1!A:B,2,0)</f>
        <v>Guangdong</v>
      </c>
      <c r="I83" s="33" t="str">
        <f>VLOOKUP(C83,Sheet1!C:D,2,0)</f>
        <v>Shenzhen</v>
      </c>
      <c r="J83" s="52" t="s">
        <v>5</v>
      </c>
      <c r="K83" s="52" t="s">
        <v>35</v>
      </c>
      <c r="L83" s="52" t="s">
        <v>139</v>
      </c>
      <c r="M83" s="53"/>
      <c r="N83" s="53"/>
      <c r="O83" s="59"/>
    </row>
    <row r="84" spans="2:15" ht="13.9" x14ac:dyDescent="0.35">
      <c r="B84" s="50" t="s">
        <v>80</v>
      </c>
      <c r="C84" s="51" t="s">
        <v>132</v>
      </c>
      <c r="D84" s="52" t="s">
        <v>6</v>
      </c>
      <c r="E84" s="52" t="s">
        <v>34</v>
      </c>
      <c r="F84" s="53">
        <v>3</v>
      </c>
      <c r="G84" s="53">
        <v>5400</v>
      </c>
      <c r="H84" s="33" t="str">
        <f>VLOOKUP(B84,Sheet1!A:B,2,0)</f>
        <v>Guangdong</v>
      </c>
      <c r="I84" s="33" t="str">
        <f>VLOOKUP(C84,Sheet1!C:D,2,0)</f>
        <v>Shenzhen</v>
      </c>
      <c r="J84" s="52" t="s">
        <v>6</v>
      </c>
      <c r="K84" s="52" t="s">
        <v>35</v>
      </c>
      <c r="L84" s="52" t="s">
        <v>140</v>
      </c>
      <c r="M84" s="53"/>
      <c r="N84" s="53"/>
      <c r="O84" s="59"/>
    </row>
    <row r="85" spans="2:15" ht="13.9" x14ac:dyDescent="0.35">
      <c r="B85" s="50" t="s">
        <v>80</v>
      </c>
      <c r="C85" s="51" t="s">
        <v>132</v>
      </c>
      <c r="D85" s="50" t="s">
        <v>47</v>
      </c>
      <c r="E85" s="52" t="s">
        <v>48</v>
      </c>
      <c r="F85" s="53">
        <v>3</v>
      </c>
      <c r="G85" s="53">
        <v>8400</v>
      </c>
      <c r="H85" s="33" t="str">
        <f>VLOOKUP(B85,Sheet1!A:B,2,0)</f>
        <v>Guangdong</v>
      </c>
      <c r="I85" s="33" t="str">
        <f>VLOOKUP(C85,Sheet1!C:D,2,0)</f>
        <v>Shenzhen</v>
      </c>
      <c r="J85" s="50" t="s">
        <v>49</v>
      </c>
      <c r="K85" s="52" t="s">
        <v>50</v>
      </c>
      <c r="L85" s="52" t="s">
        <v>141</v>
      </c>
      <c r="M85" s="53"/>
      <c r="N85" s="53"/>
      <c r="O85" s="59"/>
    </row>
    <row r="86" spans="2:15" ht="13.9" x14ac:dyDescent="0.35">
      <c r="B86" s="50" t="s">
        <v>80</v>
      </c>
      <c r="C86" s="51" t="s">
        <v>142</v>
      </c>
      <c r="D86" s="52" t="s">
        <v>5</v>
      </c>
      <c r="E86" s="52" t="s">
        <v>34</v>
      </c>
      <c r="F86" s="53">
        <v>3</v>
      </c>
      <c r="G86" s="53">
        <v>5040</v>
      </c>
      <c r="H86" s="33" t="str">
        <f>VLOOKUP(B86,Sheet1!A:B,2,0)</f>
        <v>Guangdong</v>
      </c>
      <c r="I86" s="33" t="str">
        <f>VLOOKUP(C86,Sheet1!C:D,2,0)</f>
        <v>Zhaoqing</v>
      </c>
      <c r="J86" s="52" t="s">
        <v>5</v>
      </c>
      <c r="K86" s="52" t="s">
        <v>35</v>
      </c>
      <c r="L86" s="52" t="s">
        <v>143</v>
      </c>
      <c r="M86" s="53"/>
      <c r="N86" s="53"/>
      <c r="O86" s="59"/>
    </row>
    <row r="87" spans="2:15" ht="13.9" x14ac:dyDescent="0.35">
      <c r="B87" s="50" t="s">
        <v>80</v>
      </c>
      <c r="C87" s="51" t="s">
        <v>144</v>
      </c>
      <c r="D87" s="52" t="s">
        <v>7</v>
      </c>
      <c r="E87" s="52" t="s">
        <v>34</v>
      </c>
      <c r="F87" s="53">
        <v>3</v>
      </c>
      <c r="G87" s="53">
        <v>6000</v>
      </c>
      <c r="H87" s="33" t="str">
        <f>VLOOKUP(B87,Sheet1!A:B,2,0)</f>
        <v>Guangdong</v>
      </c>
      <c r="I87" s="33" t="str">
        <f>VLOOKUP(C87,Sheet1!C:D,2,0)</f>
        <v>Zhongshan</v>
      </c>
      <c r="J87" s="52" t="s">
        <v>7</v>
      </c>
      <c r="K87" s="52" t="s">
        <v>35</v>
      </c>
      <c r="L87" s="52" t="s">
        <v>145</v>
      </c>
      <c r="M87" s="53"/>
      <c r="N87" s="53"/>
      <c r="O87" s="59"/>
    </row>
    <row r="88" spans="2:15" ht="13.9" x14ac:dyDescent="0.35">
      <c r="B88" s="50" t="s">
        <v>80</v>
      </c>
      <c r="C88" s="51" t="s">
        <v>144</v>
      </c>
      <c r="D88" s="52" t="s">
        <v>8</v>
      </c>
      <c r="E88" s="52" t="s">
        <v>34</v>
      </c>
      <c r="F88" s="53">
        <v>3</v>
      </c>
      <c r="G88" s="53">
        <v>6000</v>
      </c>
      <c r="H88" s="33" t="str">
        <f>VLOOKUP(B88,Sheet1!A:B,2,0)</f>
        <v>Guangdong</v>
      </c>
      <c r="I88" s="33" t="str">
        <f>VLOOKUP(C88,Sheet1!C:D,2,0)</f>
        <v>Zhongshan</v>
      </c>
      <c r="J88" s="52" t="s">
        <v>8</v>
      </c>
      <c r="K88" s="52" t="s">
        <v>35</v>
      </c>
      <c r="L88" s="52" t="s">
        <v>146</v>
      </c>
      <c r="M88" s="53"/>
      <c r="N88" s="53"/>
      <c r="O88" s="59"/>
    </row>
    <row r="89" spans="2:15" ht="13.9" x14ac:dyDescent="0.35">
      <c r="B89" s="50" t="s">
        <v>80</v>
      </c>
      <c r="C89" s="51" t="s">
        <v>144</v>
      </c>
      <c r="D89" s="52" t="s">
        <v>9</v>
      </c>
      <c r="E89" s="52" t="s">
        <v>34</v>
      </c>
      <c r="F89" s="53">
        <v>3</v>
      </c>
      <c r="G89" s="53">
        <v>7680</v>
      </c>
      <c r="H89" s="33" t="str">
        <f>VLOOKUP(B89,Sheet1!A:B,2,0)</f>
        <v>Guangdong</v>
      </c>
      <c r="I89" s="33" t="str">
        <f>VLOOKUP(C89,Sheet1!C:D,2,0)</f>
        <v>Zhongshan</v>
      </c>
      <c r="J89" s="52" t="s">
        <v>9</v>
      </c>
      <c r="K89" s="52" t="s">
        <v>35</v>
      </c>
      <c r="L89" s="52" t="s">
        <v>147</v>
      </c>
      <c r="M89" s="53"/>
      <c r="N89" s="53"/>
      <c r="O89" s="59"/>
    </row>
    <row r="90" spans="2:15" ht="13.9" x14ac:dyDescent="0.35">
      <c r="B90" s="50" t="s">
        <v>80</v>
      </c>
      <c r="C90" s="51" t="s">
        <v>144</v>
      </c>
      <c r="D90" s="50" t="s">
        <v>11</v>
      </c>
      <c r="E90" s="52" t="s">
        <v>34</v>
      </c>
      <c r="F90" s="53">
        <v>3</v>
      </c>
      <c r="G90" s="53">
        <v>8400</v>
      </c>
      <c r="H90" s="33" t="str">
        <f>VLOOKUP(B90,Sheet1!A:B,2,0)</f>
        <v>Guangdong</v>
      </c>
      <c r="I90" s="33" t="str">
        <f>VLOOKUP(C90,Sheet1!C:D,2,0)</f>
        <v>Zhongshan</v>
      </c>
      <c r="J90" s="50" t="s">
        <v>11</v>
      </c>
      <c r="K90" s="52" t="s">
        <v>35</v>
      </c>
      <c r="L90" s="52" t="s">
        <v>148</v>
      </c>
      <c r="M90" s="53"/>
      <c r="N90" s="53"/>
      <c r="O90" s="59"/>
    </row>
    <row r="91" spans="2:15" ht="13.9" x14ac:dyDescent="0.35">
      <c r="B91" s="50" t="s">
        <v>80</v>
      </c>
      <c r="C91" s="51" t="s">
        <v>144</v>
      </c>
      <c r="D91" s="50" t="s">
        <v>4</v>
      </c>
      <c r="E91" s="52" t="s">
        <v>34</v>
      </c>
      <c r="F91" s="53">
        <v>3</v>
      </c>
      <c r="G91" s="53">
        <v>3696</v>
      </c>
      <c r="H91" s="33" t="str">
        <f>VLOOKUP(B91,Sheet1!A:B,2,0)</f>
        <v>Guangdong</v>
      </c>
      <c r="I91" s="33" t="str">
        <f>VLOOKUP(C91,Sheet1!C:D,2,0)</f>
        <v>Zhongshan</v>
      </c>
      <c r="J91" s="50" t="s">
        <v>4</v>
      </c>
      <c r="K91" s="52" t="s">
        <v>35</v>
      </c>
      <c r="L91" s="52" t="s">
        <v>149</v>
      </c>
      <c r="M91" s="53"/>
      <c r="N91" s="53"/>
      <c r="O91" s="59"/>
    </row>
    <row r="92" spans="2:15" ht="13.9" x14ac:dyDescent="0.35">
      <c r="B92" s="50" t="s">
        <v>80</v>
      </c>
      <c r="C92" s="51" t="s">
        <v>144</v>
      </c>
      <c r="D92" s="50" t="s">
        <v>47</v>
      </c>
      <c r="E92" s="52" t="s">
        <v>48</v>
      </c>
      <c r="F92" s="53">
        <v>3</v>
      </c>
      <c r="G92" s="53">
        <v>8400</v>
      </c>
      <c r="H92" s="33" t="str">
        <f>VLOOKUP(B92,Sheet1!A:B,2,0)</f>
        <v>Guangdong</v>
      </c>
      <c r="I92" s="33" t="str">
        <f>VLOOKUP(C92,Sheet1!C:D,2,0)</f>
        <v>Zhongshan</v>
      </c>
      <c r="J92" s="50" t="s">
        <v>49</v>
      </c>
      <c r="K92" s="52" t="s">
        <v>50</v>
      </c>
      <c r="L92" s="52" t="s">
        <v>150</v>
      </c>
      <c r="M92" s="53"/>
      <c r="N92" s="53"/>
      <c r="O92" s="59"/>
    </row>
    <row r="93" spans="2:15" ht="13.9" x14ac:dyDescent="0.35">
      <c r="B93" s="50" t="s">
        <v>80</v>
      </c>
      <c r="C93" s="51" t="s">
        <v>151</v>
      </c>
      <c r="D93" s="62" t="s">
        <v>4</v>
      </c>
      <c r="E93" s="52" t="s">
        <v>34</v>
      </c>
      <c r="F93" s="53">
        <v>3</v>
      </c>
      <c r="G93" s="53">
        <v>3816</v>
      </c>
      <c r="H93" s="33" t="str">
        <f>VLOOKUP(B93,Sheet1!A:B,2,0)</f>
        <v>Guangdong</v>
      </c>
      <c r="I93" s="33" t="str">
        <f>VLOOKUP(C93,Sheet1!C:D,2,0)</f>
        <v>Zhuhai</v>
      </c>
      <c r="J93" s="62" t="s">
        <v>4</v>
      </c>
      <c r="K93" s="52" t="s">
        <v>35</v>
      </c>
      <c r="L93" s="52" t="s">
        <v>152</v>
      </c>
      <c r="M93" s="53"/>
      <c r="N93" s="53"/>
      <c r="O93" s="59"/>
    </row>
    <row r="94" spans="2:15" ht="13.9" x14ac:dyDescent="0.35">
      <c r="B94" s="50" t="s">
        <v>80</v>
      </c>
      <c r="C94" s="51" t="s">
        <v>151</v>
      </c>
      <c r="D94" s="50" t="s">
        <v>47</v>
      </c>
      <c r="E94" s="52" t="s">
        <v>48</v>
      </c>
      <c r="F94" s="53">
        <v>3</v>
      </c>
      <c r="G94" s="53">
        <v>9000</v>
      </c>
      <c r="H94" s="33" t="str">
        <f>VLOOKUP(B94,Sheet1!A:B,2,0)</f>
        <v>Guangdong</v>
      </c>
      <c r="I94" s="33" t="str">
        <f>VLOOKUP(C94,Sheet1!C:D,2,0)</f>
        <v>Zhuhai</v>
      </c>
      <c r="J94" s="50" t="s">
        <v>49</v>
      </c>
      <c r="K94" s="52" t="s">
        <v>50</v>
      </c>
      <c r="L94" s="52" t="s">
        <v>153</v>
      </c>
      <c r="M94" s="53"/>
      <c r="N94" s="53"/>
      <c r="O94" s="59"/>
    </row>
    <row r="95" spans="2:15" ht="13.9" x14ac:dyDescent="0.35">
      <c r="B95" s="50" t="s">
        <v>154</v>
      </c>
      <c r="C95" s="51" t="s">
        <v>155</v>
      </c>
      <c r="D95" s="62" t="s">
        <v>11</v>
      </c>
      <c r="E95" s="52" t="s">
        <v>34</v>
      </c>
      <c r="F95" s="53">
        <v>4</v>
      </c>
      <c r="G95" s="53">
        <v>11700</v>
      </c>
      <c r="H95" s="33" t="str">
        <f>VLOOKUP(B95,Sheet1!A:B,2,0)</f>
        <v>Guangxi</v>
      </c>
      <c r="I95" s="33" t="str">
        <f>VLOOKUP(C95,Sheet1!C:D,2,0)</f>
        <v>Hechi</v>
      </c>
      <c r="J95" s="62" t="s">
        <v>11</v>
      </c>
      <c r="K95" s="52" t="s">
        <v>35</v>
      </c>
      <c r="L95" s="52" t="s">
        <v>156</v>
      </c>
      <c r="M95" s="53"/>
      <c r="N95" s="53"/>
      <c r="O95" s="59"/>
    </row>
    <row r="96" spans="2:15" ht="13.9" x14ac:dyDescent="0.35">
      <c r="B96" s="50" t="s">
        <v>154</v>
      </c>
      <c r="C96" s="51" t="s">
        <v>155</v>
      </c>
      <c r="D96" s="62" t="s">
        <v>5</v>
      </c>
      <c r="E96" s="52" t="s">
        <v>34</v>
      </c>
      <c r="F96" s="53">
        <v>4</v>
      </c>
      <c r="G96" s="53">
        <v>6300</v>
      </c>
      <c r="H96" s="33" t="str">
        <f>VLOOKUP(B96,Sheet1!A:B,2,0)</f>
        <v>Guangxi</v>
      </c>
      <c r="I96" s="33" t="str">
        <f>VLOOKUP(C96,Sheet1!C:D,2,0)</f>
        <v>Hechi</v>
      </c>
      <c r="J96" s="62" t="s">
        <v>5</v>
      </c>
      <c r="K96" s="52" t="s">
        <v>35</v>
      </c>
      <c r="L96" s="52" t="s">
        <v>157</v>
      </c>
      <c r="M96" s="53"/>
      <c r="N96" s="53"/>
      <c r="O96" s="59"/>
    </row>
    <row r="97" spans="2:15" ht="13.9" x14ac:dyDescent="0.35">
      <c r="B97" s="50" t="s">
        <v>154</v>
      </c>
      <c r="C97" s="51" t="s">
        <v>158</v>
      </c>
      <c r="D97" s="62" t="s">
        <v>7</v>
      </c>
      <c r="E97" s="52" t="s">
        <v>34</v>
      </c>
      <c r="F97" s="53">
        <v>4</v>
      </c>
      <c r="G97" s="53">
        <v>7440</v>
      </c>
      <c r="H97" s="33" t="str">
        <f>VLOOKUP(B97,Sheet1!A:B,2,0)</f>
        <v>Guangxi</v>
      </c>
      <c r="I97" s="33" t="str">
        <f>VLOOKUP(C97,Sheet1!C:D,2,0)</f>
        <v>Pubei</v>
      </c>
      <c r="J97" s="62" t="s">
        <v>7</v>
      </c>
      <c r="K97" s="52" t="s">
        <v>35</v>
      </c>
      <c r="L97" s="52" t="s">
        <v>159</v>
      </c>
      <c r="M97" s="53"/>
      <c r="N97" s="53"/>
      <c r="O97" s="59"/>
    </row>
    <row r="98" spans="2:15" ht="13.9" x14ac:dyDescent="0.35">
      <c r="B98" s="50" t="s">
        <v>154</v>
      </c>
      <c r="C98" s="51" t="s">
        <v>158</v>
      </c>
      <c r="D98" s="62" t="s">
        <v>8</v>
      </c>
      <c r="E98" s="52" t="s">
        <v>34</v>
      </c>
      <c r="F98" s="53">
        <v>4</v>
      </c>
      <c r="G98" s="53">
        <v>7440</v>
      </c>
      <c r="H98" s="33" t="str">
        <f>VLOOKUP(B98,Sheet1!A:B,2,0)</f>
        <v>Guangxi</v>
      </c>
      <c r="I98" s="33" t="str">
        <f>VLOOKUP(C98,Sheet1!C:D,2,0)</f>
        <v>Pubei</v>
      </c>
      <c r="J98" s="62" t="s">
        <v>8</v>
      </c>
      <c r="K98" s="52" t="s">
        <v>35</v>
      </c>
      <c r="L98" s="52" t="s">
        <v>160</v>
      </c>
      <c r="M98" s="53"/>
      <c r="N98" s="53"/>
      <c r="O98" s="59"/>
    </row>
    <row r="99" spans="2:15" ht="13.9" x14ac:dyDescent="0.35">
      <c r="B99" s="50" t="s">
        <v>154</v>
      </c>
      <c r="C99" s="51" t="s">
        <v>158</v>
      </c>
      <c r="D99" s="62" t="s">
        <v>9</v>
      </c>
      <c r="E99" s="52" t="s">
        <v>34</v>
      </c>
      <c r="F99" s="53">
        <v>4</v>
      </c>
      <c r="G99" s="53">
        <v>10200</v>
      </c>
      <c r="H99" s="33" t="str">
        <f>VLOOKUP(B99,Sheet1!A:B,2,0)</f>
        <v>Guangxi</v>
      </c>
      <c r="I99" s="33" t="str">
        <f>VLOOKUP(C99,Sheet1!C:D,2,0)</f>
        <v>Pubei</v>
      </c>
      <c r="J99" s="62" t="s">
        <v>9</v>
      </c>
      <c r="K99" s="52" t="s">
        <v>35</v>
      </c>
      <c r="L99" s="52" t="s">
        <v>161</v>
      </c>
      <c r="M99" s="53"/>
      <c r="N99" s="53"/>
      <c r="O99" s="59"/>
    </row>
    <row r="100" spans="2:15" ht="13.9" x14ac:dyDescent="0.35">
      <c r="B100" s="50" t="s">
        <v>154</v>
      </c>
      <c r="C100" s="51" t="s">
        <v>158</v>
      </c>
      <c r="D100" s="62" t="s">
        <v>11</v>
      </c>
      <c r="E100" s="52" t="s">
        <v>34</v>
      </c>
      <c r="F100" s="53">
        <v>4</v>
      </c>
      <c r="G100" s="53">
        <v>10800</v>
      </c>
      <c r="H100" s="33" t="str">
        <f>VLOOKUP(B100,Sheet1!A:B,2,0)</f>
        <v>Guangxi</v>
      </c>
      <c r="I100" s="33" t="str">
        <f>VLOOKUP(C100,Sheet1!C:D,2,0)</f>
        <v>Pubei</v>
      </c>
      <c r="J100" s="62" t="s">
        <v>11</v>
      </c>
      <c r="K100" s="52" t="s">
        <v>35</v>
      </c>
      <c r="L100" s="52" t="s">
        <v>162</v>
      </c>
      <c r="M100" s="53"/>
      <c r="N100" s="53"/>
      <c r="O100" s="59"/>
    </row>
    <row r="101" spans="2:15" ht="13.9" x14ac:dyDescent="0.35">
      <c r="B101" s="50" t="s">
        <v>154</v>
      </c>
      <c r="C101" s="51" t="s">
        <v>158</v>
      </c>
      <c r="D101" s="50" t="s">
        <v>47</v>
      </c>
      <c r="E101" s="52" t="s">
        <v>48</v>
      </c>
      <c r="F101" s="53">
        <v>4</v>
      </c>
      <c r="G101" s="53">
        <v>10920</v>
      </c>
      <c r="H101" s="33" t="str">
        <f>VLOOKUP(B101,Sheet1!A:B,2,0)</f>
        <v>Guangxi</v>
      </c>
      <c r="I101" s="33" t="str">
        <f>VLOOKUP(C101,Sheet1!C:D,2,0)</f>
        <v>Pubei</v>
      </c>
      <c r="J101" s="50" t="s">
        <v>49</v>
      </c>
      <c r="K101" s="52" t="s">
        <v>50</v>
      </c>
      <c r="L101" s="52" t="s">
        <v>163</v>
      </c>
      <c r="M101" s="53"/>
      <c r="N101" s="53"/>
      <c r="O101" s="59"/>
    </row>
    <row r="102" spans="2:15" ht="13.9" x14ac:dyDescent="0.35">
      <c r="B102" s="50" t="s">
        <v>154</v>
      </c>
      <c r="C102" s="51" t="s">
        <v>158</v>
      </c>
      <c r="D102" s="62" t="s">
        <v>164</v>
      </c>
      <c r="E102" s="52" t="s">
        <v>48</v>
      </c>
      <c r="F102" s="53">
        <v>4</v>
      </c>
      <c r="G102" s="53">
        <v>10920</v>
      </c>
      <c r="H102" s="33" t="str">
        <f>VLOOKUP(B102,Sheet1!A:B,2,0)</f>
        <v>Guangxi</v>
      </c>
      <c r="I102" s="33" t="str">
        <f>VLOOKUP(C102,Sheet1!C:D,2,0)</f>
        <v>Pubei</v>
      </c>
      <c r="J102" s="62" t="s">
        <v>165</v>
      </c>
      <c r="K102" s="52" t="s">
        <v>50</v>
      </c>
      <c r="L102" s="52" t="s">
        <v>166</v>
      </c>
      <c r="M102" s="53"/>
      <c r="N102" s="53"/>
      <c r="O102" s="59"/>
    </row>
    <row r="103" spans="2:15" ht="13.9" x14ac:dyDescent="0.35">
      <c r="B103" s="50" t="s">
        <v>154</v>
      </c>
      <c r="C103" s="51" t="s">
        <v>167</v>
      </c>
      <c r="D103" s="62" t="s">
        <v>7</v>
      </c>
      <c r="E103" s="52" t="s">
        <v>34</v>
      </c>
      <c r="F103" s="53">
        <v>4</v>
      </c>
      <c r="G103" s="53">
        <v>8640</v>
      </c>
      <c r="H103" s="33" t="str">
        <f>VLOOKUP(B103,Sheet1!A:B,2,0)</f>
        <v>Guangxi</v>
      </c>
      <c r="I103" s="33" t="str">
        <f>VLOOKUP(C103,Sheet1!C:D,2,0)</f>
        <v>Qinzhou</v>
      </c>
      <c r="J103" s="62" t="s">
        <v>7</v>
      </c>
      <c r="K103" s="52" t="s">
        <v>35</v>
      </c>
      <c r="L103" s="52" t="s">
        <v>168</v>
      </c>
      <c r="M103" s="53"/>
      <c r="N103" s="53"/>
      <c r="O103" s="59"/>
    </row>
    <row r="104" spans="2:15" ht="13.9" x14ac:dyDescent="0.35">
      <c r="B104" s="50" t="s">
        <v>154</v>
      </c>
      <c r="C104" s="51" t="s">
        <v>167</v>
      </c>
      <c r="D104" s="62" t="s">
        <v>8</v>
      </c>
      <c r="E104" s="52" t="s">
        <v>34</v>
      </c>
      <c r="F104" s="53">
        <v>4</v>
      </c>
      <c r="G104" s="53">
        <v>8640</v>
      </c>
      <c r="H104" s="33" t="str">
        <f>VLOOKUP(B104,Sheet1!A:B,2,0)</f>
        <v>Guangxi</v>
      </c>
      <c r="I104" s="33" t="str">
        <f>VLOOKUP(C104,Sheet1!C:D,2,0)</f>
        <v>Qinzhou</v>
      </c>
      <c r="J104" s="62" t="s">
        <v>8</v>
      </c>
      <c r="K104" s="52" t="s">
        <v>35</v>
      </c>
      <c r="L104" s="52" t="s">
        <v>169</v>
      </c>
      <c r="M104" s="53"/>
      <c r="N104" s="53"/>
      <c r="O104" s="59"/>
    </row>
    <row r="105" spans="2:15" ht="13.9" x14ac:dyDescent="0.35">
      <c r="B105" s="50" t="s">
        <v>154</v>
      </c>
      <c r="C105" s="51" t="s">
        <v>167</v>
      </c>
      <c r="D105" s="50" t="s">
        <v>9</v>
      </c>
      <c r="E105" s="52" t="s">
        <v>34</v>
      </c>
      <c r="F105" s="53">
        <v>4</v>
      </c>
      <c r="G105" s="53">
        <v>11640</v>
      </c>
      <c r="H105" s="33" t="str">
        <f>VLOOKUP(B105,Sheet1!A:B,2,0)</f>
        <v>Guangxi</v>
      </c>
      <c r="I105" s="33" t="str">
        <f>VLOOKUP(C105,Sheet1!C:D,2,0)</f>
        <v>Qinzhou</v>
      </c>
      <c r="J105" s="50" t="s">
        <v>9</v>
      </c>
      <c r="K105" s="52" t="s">
        <v>35</v>
      </c>
      <c r="L105" s="52" t="s">
        <v>170</v>
      </c>
      <c r="M105" s="53"/>
      <c r="N105" s="53"/>
      <c r="O105" s="59"/>
    </row>
    <row r="106" spans="2:15" ht="13.9" x14ac:dyDescent="0.35">
      <c r="B106" s="50" t="s">
        <v>154</v>
      </c>
      <c r="C106" s="51" t="s">
        <v>167</v>
      </c>
      <c r="D106" s="50" t="s">
        <v>11</v>
      </c>
      <c r="E106" s="52" t="s">
        <v>34</v>
      </c>
      <c r="F106" s="53">
        <v>4</v>
      </c>
      <c r="G106" s="53">
        <v>10800</v>
      </c>
      <c r="H106" s="33" t="str">
        <f>VLOOKUP(B106,Sheet1!A:B,2,0)</f>
        <v>Guangxi</v>
      </c>
      <c r="I106" s="33" t="str">
        <f>VLOOKUP(C106,Sheet1!C:D,2,0)</f>
        <v>Qinzhou</v>
      </c>
      <c r="J106" s="50" t="s">
        <v>11</v>
      </c>
      <c r="K106" s="52" t="s">
        <v>35</v>
      </c>
      <c r="L106" s="52" t="s">
        <v>171</v>
      </c>
      <c r="M106" s="53"/>
      <c r="N106" s="53"/>
      <c r="O106" s="59"/>
    </row>
    <row r="107" spans="2:15" ht="13.9" x14ac:dyDescent="0.35">
      <c r="B107" s="50" t="s">
        <v>154</v>
      </c>
      <c r="C107" s="51" t="s">
        <v>167</v>
      </c>
      <c r="D107" s="50" t="s">
        <v>5</v>
      </c>
      <c r="E107" s="52" t="s">
        <v>34</v>
      </c>
      <c r="F107" s="53">
        <v>4</v>
      </c>
      <c r="G107" s="53">
        <v>6360</v>
      </c>
      <c r="H107" s="33" t="str">
        <f>VLOOKUP(B107,Sheet1!A:B,2,0)</f>
        <v>Guangxi</v>
      </c>
      <c r="I107" s="33" t="str">
        <f>VLOOKUP(C107,Sheet1!C:D,2,0)</f>
        <v>Qinzhou</v>
      </c>
      <c r="J107" s="50" t="s">
        <v>5</v>
      </c>
      <c r="K107" s="52" t="s">
        <v>35</v>
      </c>
      <c r="L107" s="52" t="s">
        <v>172</v>
      </c>
      <c r="M107" s="53"/>
      <c r="N107" s="53"/>
      <c r="O107" s="59"/>
    </row>
    <row r="108" spans="2:15" ht="13.9" x14ac:dyDescent="0.35">
      <c r="B108" s="50" t="s">
        <v>154</v>
      </c>
      <c r="C108" s="51" t="s">
        <v>167</v>
      </c>
      <c r="D108" s="50" t="s">
        <v>6</v>
      </c>
      <c r="E108" s="52" t="s">
        <v>34</v>
      </c>
      <c r="F108" s="53">
        <v>4</v>
      </c>
      <c r="G108" s="53">
        <v>7560</v>
      </c>
      <c r="H108" s="33" t="str">
        <f>VLOOKUP(B108,Sheet1!A:B,2,0)</f>
        <v>Guangxi</v>
      </c>
      <c r="I108" s="33" t="str">
        <f>VLOOKUP(C108,Sheet1!C:D,2,0)</f>
        <v>Qinzhou</v>
      </c>
      <c r="J108" s="50" t="s">
        <v>6</v>
      </c>
      <c r="K108" s="52" t="s">
        <v>35</v>
      </c>
      <c r="L108" s="52" t="s">
        <v>173</v>
      </c>
      <c r="M108" s="53"/>
      <c r="N108" s="53"/>
      <c r="O108" s="59"/>
    </row>
    <row r="109" spans="2:15" ht="13.9" x14ac:dyDescent="0.35">
      <c r="B109" s="50" t="s">
        <v>154</v>
      </c>
      <c r="C109" s="51" t="s">
        <v>167</v>
      </c>
      <c r="D109" s="50" t="s">
        <v>47</v>
      </c>
      <c r="E109" s="52" t="s">
        <v>48</v>
      </c>
      <c r="F109" s="53">
        <v>4</v>
      </c>
      <c r="G109" s="53">
        <v>11520</v>
      </c>
      <c r="H109" s="33" t="str">
        <f>VLOOKUP(B109,Sheet1!A:B,2,0)</f>
        <v>Guangxi</v>
      </c>
      <c r="I109" s="33" t="str">
        <f>VLOOKUP(C109,Sheet1!C:D,2,0)</f>
        <v>Qinzhou</v>
      </c>
      <c r="J109" s="50" t="s">
        <v>49</v>
      </c>
      <c r="K109" s="52" t="s">
        <v>50</v>
      </c>
      <c r="L109" s="52" t="s">
        <v>174</v>
      </c>
      <c r="M109" s="53"/>
      <c r="N109" s="53"/>
      <c r="O109" s="59"/>
    </row>
    <row r="110" spans="2:15" ht="13.9" x14ac:dyDescent="0.35">
      <c r="B110" s="50" t="s">
        <v>154</v>
      </c>
      <c r="C110" s="51" t="s">
        <v>167</v>
      </c>
      <c r="D110" s="62" t="s">
        <v>164</v>
      </c>
      <c r="E110" s="52" t="s">
        <v>48</v>
      </c>
      <c r="F110" s="53">
        <v>4</v>
      </c>
      <c r="G110" s="53">
        <v>11520</v>
      </c>
      <c r="H110" s="33" t="str">
        <f>VLOOKUP(B110,Sheet1!A:B,2,0)</f>
        <v>Guangxi</v>
      </c>
      <c r="I110" s="33" t="str">
        <f>VLOOKUP(C110,Sheet1!C:D,2,0)</f>
        <v>Qinzhou</v>
      </c>
      <c r="J110" s="62" t="s">
        <v>165</v>
      </c>
      <c r="K110" s="52" t="s">
        <v>50</v>
      </c>
      <c r="L110" s="52" t="s">
        <v>175</v>
      </c>
      <c r="M110" s="53"/>
      <c r="N110" s="53"/>
      <c r="O110" s="59"/>
    </row>
    <row r="111" spans="2:15" ht="13.9" x14ac:dyDescent="0.35">
      <c r="B111" s="50" t="s">
        <v>176</v>
      </c>
      <c r="C111" s="51" t="s">
        <v>177</v>
      </c>
      <c r="D111" s="52" t="s">
        <v>9</v>
      </c>
      <c r="E111" s="52" t="s">
        <v>34</v>
      </c>
      <c r="F111" s="53">
        <v>2</v>
      </c>
      <c r="G111" s="53">
        <v>9300</v>
      </c>
      <c r="H111" s="33" t="str">
        <f>VLOOKUP(B111,Sheet1!A:B,2,0)</f>
        <v>Hebei</v>
      </c>
      <c r="I111" s="33" t="str">
        <f>VLOOKUP(C111,Sheet1!C:D,2,0)</f>
        <v>Hejian</v>
      </c>
      <c r="J111" s="52" t="s">
        <v>9</v>
      </c>
      <c r="K111" s="52" t="s">
        <v>35</v>
      </c>
      <c r="L111" s="52" t="s">
        <v>178</v>
      </c>
      <c r="M111" s="53"/>
      <c r="N111" s="53"/>
      <c r="O111" s="59"/>
    </row>
    <row r="112" spans="2:15" ht="13.9" x14ac:dyDescent="0.35">
      <c r="B112" s="50" t="s">
        <v>176</v>
      </c>
      <c r="C112" s="51" t="s">
        <v>177</v>
      </c>
      <c r="D112" s="50" t="s">
        <v>47</v>
      </c>
      <c r="E112" s="52" t="s">
        <v>48</v>
      </c>
      <c r="F112" s="53">
        <v>2</v>
      </c>
      <c r="G112" s="53">
        <v>9720</v>
      </c>
      <c r="H112" s="33" t="str">
        <f>VLOOKUP(B112,Sheet1!A:B,2,0)</f>
        <v>Hebei</v>
      </c>
      <c r="I112" s="33" t="str">
        <f>VLOOKUP(C112,Sheet1!C:D,2,0)</f>
        <v>Hejian</v>
      </c>
      <c r="J112" s="50" t="s">
        <v>49</v>
      </c>
      <c r="K112" s="52" t="s">
        <v>50</v>
      </c>
      <c r="L112" s="52" t="s">
        <v>179</v>
      </c>
      <c r="M112" s="53"/>
      <c r="N112" s="53"/>
      <c r="O112" s="59"/>
    </row>
    <row r="113" spans="2:15" ht="13.9" x14ac:dyDescent="0.35">
      <c r="B113" s="50" t="s">
        <v>180</v>
      </c>
      <c r="C113" s="51" t="s">
        <v>181</v>
      </c>
      <c r="D113" s="52" t="s">
        <v>7</v>
      </c>
      <c r="E113" s="52" t="s">
        <v>34</v>
      </c>
      <c r="F113" s="53">
        <v>3</v>
      </c>
      <c r="G113" s="53">
        <v>5160</v>
      </c>
      <c r="H113" s="33" t="str">
        <f>VLOOKUP(B113,Sheet1!A:B,2,0)</f>
        <v>Hunan</v>
      </c>
      <c r="I113" s="33" t="str">
        <f>VLOOKUP(C113,Sheet1!C:D,2,0)</f>
        <v>Chenzhou</v>
      </c>
      <c r="J113" s="52" t="s">
        <v>7</v>
      </c>
      <c r="K113" s="52" t="s">
        <v>35</v>
      </c>
      <c r="L113" s="52" t="s">
        <v>182</v>
      </c>
      <c r="M113" s="53"/>
      <c r="N113" s="53"/>
      <c r="O113" s="59"/>
    </row>
    <row r="114" spans="2:15" ht="13.9" x14ac:dyDescent="0.35">
      <c r="B114" s="50" t="s">
        <v>180</v>
      </c>
      <c r="C114" s="51" t="s">
        <v>181</v>
      </c>
      <c r="D114" s="52" t="s">
        <v>8</v>
      </c>
      <c r="E114" s="52" t="s">
        <v>34</v>
      </c>
      <c r="F114" s="53">
        <v>3</v>
      </c>
      <c r="G114" s="53">
        <v>5160</v>
      </c>
      <c r="H114" s="33" t="str">
        <f>VLOOKUP(B114,Sheet1!A:B,2,0)</f>
        <v>Hunan</v>
      </c>
      <c r="I114" s="33" t="str">
        <f>VLOOKUP(C114,Sheet1!C:D,2,0)</f>
        <v>Chenzhou</v>
      </c>
      <c r="J114" s="52" t="s">
        <v>8</v>
      </c>
      <c r="K114" s="52" t="s">
        <v>35</v>
      </c>
      <c r="L114" s="52" t="s">
        <v>183</v>
      </c>
      <c r="M114" s="53"/>
      <c r="N114" s="53"/>
      <c r="O114" s="59"/>
    </row>
    <row r="115" spans="2:15" ht="13.9" x14ac:dyDescent="0.35">
      <c r="B115" s="50" t="s">
        <v>180</v>
      </c>
      <c r="C115" s="51" t="s">
        <v>181</v>
      </c>
      <c r="D115" s="52" t="s">
        <v>9</v>
      </c>
      <c r="E115" s="52" t="s">
        <v>34</v>
      </c>
      <c r="F115" s="53">
        <v>3</v>
      </c>
      <c r="G115" s="53">
        <v>8160</v>
      </c>
      <c r="H115" s="33" t="str">
        <f>VLOOKUP(B115,Sheet1!A:B,2,0)</f>
        <v>Hunan</v>
      </c>
      <c r="I115" s="33" t="str">
        <f>VLOOKUP(C115,Sheet1!C:D,2,0)</f>
        <v>Chenzhou</v>
      </c>
      <c r="J115" s="52" t="s">
        <v>9</v>
      </c>
      <c r="K115" s="52" t="s">
        <v>35</v>
      </c>
      <c r="L115" s="52" t="s">
        <v>184</v>
      </c>
      <c r="M115" s="53"/>
      <c r="N115" s="53"/>
      <c r="O115" s="59"/>
    </row>
    <row r="116" spans="2:15" ht="13.9" x14ac:dyDescent="0.35">
      <c r="B116" s="50" t="s">
        <v>180</v>
      </c>
      <c r="C116" s="51" t="s">
        <v>181</v>
      </c>
      <c r="D116" s="52" t="s">
        <v>11</v>
      </c>
      <c r="E116" s="52" t="s">
        <v>34</v>
      </c>
      <c r="F116" s="53">
        <v>3</v>
      </c>
      <c r="G116" s="53">
        <v>8400</v>
      </c>
      <c r="H116" s="33" t="str">
        <f>VLOOKUP(B116,Sheet1!A:B,2,0)</f>
        <v>Hunan</v>
      </c>
      <c r="I116" s="33" t="str">
        <f>VLOOKUP(C116,Sheet1!C:D,2,0)</f>
        <v>Chenzhou</v>
      </c>
      <c r="J116" s="52" t="s">
        <v>11</v>
      </c>
      <c r="K116" s="52" t="s">
        <v>35</v>
      </c>
      <c r="L116" s="52" t="s">
        <v>185</v>
      </c>
      <c r="M116" s="53"/>
      <c r="N116" s="53"/>
      <c r="O116" s="59"/>
    </row>
    <row r="117" spans="2:15" ht="13.9" x14ac:dyDescent="0.35">
      <c r="B117" s="50" t="s">
        <v>180</v>
      </c>
      <c r="C117" s="51" t="s">
        <v>181</v>
      </c>
      <c r="D117" s="52" t="s">
        <v>6</v>
      </c>
      <c r="E117" s="52" t="s">
        <v>34</v>
      </c>
      <c r="F117" s="53">
        <v>3</v>
      </c>
      <c r="G117" s="53">
        <v>4800</v>
      </c>
      <c r="H117" s="33" t="str">
        <f>VLOOKUP(B117,Sheet1!A:B,2,0)</f>
        <v>Hunan</v>
      </c>
      <c r="I117" s="33" t="str">
        <f>VLOOKUP(C117,Sheet1!C:D,2,0)</f>
        <v>Chenzhou</v>
      </c>
      <c r="J117" s="52" t="s">
        <v>6</v>
      </c>
      <c r="K117" s="52" t="s">
        <v>35</v>
      </c>
      <c r="L117" s="52" t="s">
        <v>186</v>
      </c>
      <c r="M117" s="53"/>
      <c r="N117" s="53"/>
      <c r="O117" s="59"/>
    </row>
    <row r="118" spans="2:15" ht="13.9" x14ac:dyDescent="0.35">
      <c r="B118" s="50" t="s">
        <v>180</v>
      </c>
      <c r="C118" s="51" t="s">
        <v>181</v>
      </c>
      <c r="D118" s="50" t="s">
        <v>47</v>
      </c>
      <c r="E118" s="52" t="s">
        <v>48</v>
      </c>
      <c r="F118" s="53">
        <v>3</v>
      </c>
      <c r="G118" s="53">
        <v>8820</v>
      </c>
      <c r="H118" s="33" t="str">
        <f>VLOOKUP(B118,Sheet1!A:B,2,0)</f>
        <v>Hunan</v>
      </c>
      <c r="I118" s="33" t="str">
        <f>VLOOKUP(C118,Sheet1!C:D,2,0)</f>
        <v>Chenzhou</v>
      </c>
      <c r="J118" s="50" t="s">
        <v>49</v>
      </c>
      <c r="K118" s="52" t="s">
        <v>50</v>
      </c>
      <c r="L118" s="52" t="s">
        <v>187</v>
      </c>
      <c r="M118" s="53"/>
      <c r="N118" s="53"/>
      <c r="O118" s="59"/>
    </row>
    <row r="119" spans="2:15" ht="13.9" x14ac:dyDescent="0.35">
      <c r="B119" s="50" t="s">
        <v>180</v>
      </c>
      <c r="C119" s="51" t="s">
        <v>188</v>
      </c>
      <c r="D119" s="52" t="s">
        <v>8</v>
      </c>
      <c r="E119" s="52" t="s">
        <v>34</v>
      </c>
      <c r="F119" s="53">
        <v>3</v>
      </c>
      <c r="G119" s="53">
        <v>5160</v>
      </c>
      <c r="H119" s="33" t="str">
        <f>VLOOKUP(B119,Sheet1!A:B,2,0)</f>
        <v>Hunan</v>
      </c>
      <c r="I119" s="33" t="str">
        <f>VLOOKUP(C119,Sheet1!C:D,2,0)</f>
        <v>Zixing</v>
      </c>
      <c r="J119" s="52" t="s">
        <v>8</v>
      </c>
      <c r="K119" s="52" t="s">
        <v>35</v>
      </c>
      <c r="L119" s="52" t="s">
        <v>189</v>
      </c>
      <c r="M119" s="53"/>
      <c r="N119" s="53"/>
      <c r="O119" s="59"/>
    </row>
    <row r="120" spans="2:15" ht="13.9" x14ac:dyDescent="0.35">
      <c r="B120" s="50" t="s">
        <v>180</v>
      </c>
      <c r="C120" s="51" t="s">
        <v>188</v>
      </c>
      <c r="D120" s="52" t="s">
        <v>6</v>
      </c>
      <c r="E120" s="52" t="s">
        <v>34</v>
      </c>
      <c r="F120" s="53">
        <v>3</v>
      </c>
      <c r="G120" s="53">
        <v>4800</v>
      </c>
      <c r="H120" s="33" t="str">
        <f>VLOOKUP(B120,Sheet1!A:B,2,0)</f>
        <v>Hunan</v>
      </c>
      <c r="I120" s="33" t="str">
        <f>VLOOKUP(C120,Sheet1!C:D,2,0)</f>
        <v>Zixing</v>
      </c>
      <c r="J120" s="52" t="s">
        <v>6</v>
      </c>
      <c r="K120" s="52" t="s">
        <v>35</v>
      </c>
      <c r="L120" s="52" t="s">
        <v>190</v>
      </c>
      <c r="M120" s="53"/>
      <c r="N120" s="53"/>
      <c r="O120" s="59"/>
    </row>
    <row r="121" spans="2:15" ht="13.9" x14ac:dyDescent="0.35">
      <c r="B121" s="50" t="s">
        <v>191</v>
      </c>
      <c r="C121" s="51" t="s">
        <v>192</v>
      </c>
      <c r="D121" s="52" t="s">
        <v>4</v>
      </c>
      <c r="E121" s="52" t="s">
        <v>34</v>
      </c>
      <c r="F121" s="53">
        <v>1</v>
      </c>
      <c r="G121" s="53">
        <v>960</v>
      </c>
      <c r="H121" s="33" t="str">
        <f>VLOOKUP(B121,Sheet1!A:B,2,0)</f>
        <v>Jiangsu</v>
      </c>
      <c r="I121" s="33" t="str">
        <f>VLOOKUP(C121,Sheet1!C:D,2,0)</f>
        <v>Changzhou</v>
      </c>
      <c r="J121" s="52" t="s">
        <v>4</v>
      </c>
      <c r="K121" s="52" t="s">
        <v>35</v>
      </c>
      <c r="L121" s="52" t="s">
        <v>193</v>
      </c>
      <c r="M121" s="53"/>
      <c r="N121" s="53"/>
      <c r="O121" s="59"/>
    </row>
    <row r="122" spans="2:15" ht="13.9" x14ac:dyDescent="0.35">
      <c r="B122" s="50" t="s">
        <v>191</v>
      </c>
      <c r="C122" s="51" t="s">
        <v>194</v>
      </c>
      <c r="D122" s="52" t="s">
        <v>7</v>
      </c>
      <c r="E122" s="52" t="s">
        <v>34</v>
      </c>
      <c r="F122" s="53">
        <v>1</v>
      </c>
      <c r="G122" s="53">
        <v>3300</v>
      </c>
      <c r="H122" s="33" t="str">
        <f>VLOOKUP(B122,Sheet1!A:B,2,0)</f>
        <v>Jiangsu</v>
      </c>
      <c r="I122" s="33" t="str">
        <f>VLOOKUP(C122,Sheet1!C:D,2,0)</f>
        <v>Lianyungang</v>
      </c>
      <c r="J122" s="52" t="s">
        <v>7</v>
      </c>
      <c r="K122" s="52" t="s">
        <v>35</v>
      </c>
      <c r="L122" s="52" t="s">
        <v>195</v>
      </c>
      <c r="M122" s="53"/>
      <c r="N122" s="53"/>
      <c r="O122" s="59"/>
    </row>
    <row r="123" spans="2:15" ht="13.9" x14ac:dyDescent="0.35">
      <c r="B123" s="50" t="s">
        <v>191</v>
      </c>
      <c r="C123" s="51" t="s">
        <v>194</v>
      </c>
      <c r="D123" s="52" t="s">
        <v>10</v>
      </c>
      <c r="E123" s="52" t="s">
        <v>34</v>
      </c>
      <c r="F123" s="53">
        <v>1</v>
      </c>
      <c r="G123" s="53">
        <v>5640</v>
      </c>
      <c r="H123" s="33" t="str">
        <f>VLOOKUP(B123,Sheet1!A:B,2,0)</f>
        <v>Jiangsu</v>
      </c>
      <c r="I123" s="33" t="str">
        <f>VLOOKUP(C123,Sheet1!C:D,2,0)</f>
        <v>Lianyungang</v>
      </c>
      <c r="J123" s="52" t="s">
        <v>10</v>
      </c>
      <c r="K123" s="52" t="s">
        <v>35</v>
      </c>
      <c r="L123" s="52" t="s">
        <v>196</v>
      </c>
      <c r="M123" s="53"/>
      <c r="N123" s="53"/>
      <c r="O123" s="59"/>
    </row>
    <row r="124" spans="2:15" ht="13.9" x14ac:dyDescent="0.35">
      <c r="B124" s="50" t="s">
        <v>191</v>
      </c>
      <c r="C124" s="51" t="s">
        <v>194</v>
      </c>
      <c r="D124" s="52" t="s">
        <v>5</v>
      </c>
      <c r="E124" s="52" t="s">
        <v>34</v>
      </c>
      <c r="F124" s="53">
        <v>1</v>
      </c>
      <c r="G124" s="53">
        <v>3060</v>
      </c>
      <c r="H124" s="33" t="str">
        <f>VLOOKUP(B124,Sheet1!A:B,2,0)</f>
        <v>Jiangsu</v>
      </c>
      <c r="I124" s="33" t="str">
        <f>VLOOKUP(C124,Sheet1!C:D,2,0)</f>
        <v>Lianyungang</v>
      </c>
      <c r="J124" s="52" t="s">
        <v>5</v>
      </c>
      <c r="K124" s="52" t="s">
        <v>35</v>
      </c>
      <c r="L124" s="52" t="s">
        <v>197</v>
      </c>
      <c r="M124" s="53"/>
      <c r="N124" s="53"/>
      <c r="O124" s="59"/>
    </row>
    <row r="125" spans="2:15" ht="13.9" x14ac:dyDescent="0.35">
      <c r="B125" s="50" t="s">
        <v>191</v>
      </c>
      <c r="C125" s="51" t="s">
        <v>194</v>
      </c>
      <c r="D125" s="52" t="s">
        <v>6</v>
      </c>
      <c r="E125" s="52" t="s">
        <v>34</v>
      </c>
      <c r="F125" s="53">
        <v>1</v>
      </c>
      <c r="G125" s="53">
        <v>3060</v>
      </c>
      <c r="H125" s="33" t="str">
        <f>VLOOKUP(B125,Sheet1!A:B,2,0)</f>
        <v>Jiangsu</v>
      </c>
      <c r="I125" s="33" t="str">
        <f>VLOOKUP(C125,Sheet1!C:D,2,0)</f>
        <v>Lianyungang</v>
      </c>
      <c r="J125" s="52" t="s">
        <v>6</v>
      </c>
      <c r="K125" s="52" t="s">
        <v>35</v>
      </c>
      <c r="L125" s="52" t="s">
        <v>198</v>
      </c>
      <c r="M125" s="53"/>
      <c r="N125" s="53"/>
      <c r="O125" s="59"/>
    </row>
    <row r="126" spans="2:15" ht="13.9" x14ac:dyDescent="0.35">
      <c r="B126" s="50" t="s">
        <v>191</v>
      </c>
      <c r="C126" s="51" t="s">
        <v>199</v>
      </c>
      <c r="D126" s="52" t="s">
        <v>7</v>
      </c>
      <c r="E126" s="52" t="s">
        <v>34</v>
      </c>
      <c r="F126" s="53">
        <v>1</v>
      </c>
      <c r="G126" s="53">
        <v>3420</v>
      </c>
      <c r="H126" s="33" t="str">
        <f>VLOOKUP(B126,Sheet1!A:B,2,0)</f>
        <v>Jiangsu</v>
      </c>
      <c r="I126" s="33" t="str">
        <f>VLOOKUP(C126,Sheet1!C:D,2,0)</f>
        <v>Suqian</v>
      </c>
      <c r="J126" s="52" t="s">
        <v>7</v>
      </c>
      <c r="K126" s="52" t="s">
        <v>35</v>
      </c>
      <c r="L126" s="52" t="s">
        <v>200</v>
      </c>
      <c r="M126" s="53"/>
      <c r="N126" s="53"/>
      <c r="O126" s="59"/>
    </row>
    <row r="127" spans="2:15" ht="13.9" x14ac:dyDescent="0.35">
      <c r="B127" s="50" t="s">
        <v>191</v>
      </c>
      <c r="C127" s="51" t="s">
        <v>199</v>
      </c>
      <c r="D127" s="52" t="s">
        <v>6</v>
      </c>
      <c r="E127" s="52" t="s">
        <v>34</v>
      </c>
      <c r="F127" s="53">
        <v>1</v>
      </c>
      <c r="G127" s="53">
        <v>3180</v>
      </c>
      <c r="H127" s="33" t="str">
        <f>VLOOKUP(B127,Sheet1!A:B,2,0)</f>
        <v>Jiangsu</v>
      </c>
      <c r="I127" s="33" t="str">
        <f>VLOOKUP(C127,Sheet1!C:D,2,0)</f>
        <v>Suqian</v>
      </c>
      <c r="J127" s="52" t="s">
        <v>6</v>
      </c>
      <c r="K127" s="52" t="s">
        <v>35</v>
      </c>
      <c r="L127" s="52" t="s">
        <v>201</v>
      </c>
      <c r="M127" s="53"/>
      <c r="N127" s="53"/>
      <c r="O127" s="59"/>
    </row>
    <row r="128" spans="2:15" ht="13.9" x14ac:dyDescent="0.35">
      <c r="B128" s="50" t="s">
        <v>191</v>
      </c>
      <c r="C128" s="51" t="s">
        <v>202</v>
      </c>
      <c r="D128" s="52" t="s">
        <v>7</v>
      </c>
      <c r="E128" s="52" t="s">
        <v>34</v>
      </c>
      <c r="F128" s="53">
        <v>1</v>
      </c>
      <c r="G128" s="53">
        <v>1500</v>
      </c>
      <c r="H128" s="33" t="str">
        <f>VLOOKUP(B128,Sheet1!A:B,2,0)</f>
        <v>Jiangsu</v>
      </c>
      <c r="I128" s="33" t="str">
        <f>VLOOKUP(C128,Sheet1!C:D,2,0)</f>
        <v>Suzhou</v>
      </c>
      <c r="J128" s="52" t="s">
        <v>7</v>
      </c>
      <c r="K128" s="52" t="s">
        <v>35</v>
      </c>
      <c r="L128" s="52" t="s">
        <v>203</v>
      </c>
      <c r="M128" s="53"/>
      <c r="N128" s="53"/>
      <c r="O128" s="59"/>
    </row>
    <row r="129" spans="2:15" ht="13.9" x14ac:dyDescent="0.35">
      <c r="B129" s="50" t="s">
        <v>191</v>
      </c>
      <c r="C129" s="51" t="s">
        <v>202</v>
      </c>
      <c r="D129" s="52" t="s">
        <v>8</v>
      </c>
      <c r="E129" s="52" t="s">
        <v>34</v>
      </c>
      <c r="F129" s="53">
        <v>1</v>
      </c>
      <c r="G129" s="53">
        <v>1500</v>
      </c>
      <c r="H129" s="33" t="str">
        <f>VLOOKUP(B129,Sheet1!A:B,2,0)</f>
        <v>Jiangsu</v>
      </c>
      <c r="I129" s="33" t="str">
        <f>VLOOKUP(C129,Sheet1!C:D,2,0)</f>
        <v>Suzhou</v>
      </c>
      <c r="J129" s="52" t="s">
        <v>8</v>
      </c>
      <c r="K129" s="52" t="s">
        <v>35</v>
      </c>
      <c r="L129" s="52" t="s">
        <v>204</v>
      </c>
      <c r="M129" s="53"/>
      <c r="N129" s="53"/>
      <c r="O129" s="59"/>
    </row>
    <row r="130" spans="2:15" ht="13.9" x14ac:dyDescent="0.35">
      <c r="B130" s="50" t="s">
        <v>191</v>
      </c>
      <c r="C130" s="51" t="s">
        <v>202</v>
      </c>
      <c r="D130" s="52" t="s">
        <v>9</v>
      </c>
      <c r="E130" s="52" t="s">
        <v>34</v>
      </c>
      <c r="F130" s="53">
        <v>1</v>
      </c>
      <c r="G130" s="53">
        <v>2160</v>
      </c>
      <c r="H130" s="33" t="str">
        <f>VLOOKUP(B130,Sheet1!A:B,2,0)</f>
        <v>Jiangsu</v>
      </c>
      <c r="I130" s="33" t="str">
        <f>VLOOKUP(C130,Sheet1!C:D,2,0)</f>
        <v>Suzhou</v>
      </c>
      <c r="J130" s="52" t="s">
        <v>9</v>
      </c>
      <c r="K130" s="52" t="s">
        <v>35</v>
      </c>
      <c r="L130" s="52" t="s">
        <v>205</v>
      </c>
      <c r="M130" s="53"/>
      <c r="N130" s="53"/>
      <c r="O130" s="59"/>
    </row>
    <row r="131" spans="2:15" ht="13.9" x14ac:dyDescent="0.35">
      <c r="B131" s="50" t="s">
        <v>191</v>
      </c>
      <c r="C131" s="51" t="s">
        <v>202</v>
      </c>
      <c r="D131" s="52" t="s">
        <v>10</v>
      </c>
      <c r="E131" s="52" t="s">
        <v>34</v>
      </c>
      <c r="F131" s="53">
        <v>1</v>
      </c>
      <c r="G131" s="53">
        <v>2136</v>
      </c>
      <c r="H131" s="33" t="str">
        <f>VLOOKUP(B131,Sheet1!A:B,2,0)</f>
        <v>Jiangsu</v>
      </c>
      <c r="I131" s="33" t="str">
        <f>VLOOKUP(C131,Sheet1!C:D,2,0)</f>
        <v>Suzhou</v>
      </c>
      <c r="J131" s="52" t="s">
        <v>10</v>
      </c>
      <c r="K131" s="52" t="s">
        <v>35</v>
      </c>
      <c r="L131" s="52" t="s">
        <v>206</v>
      </c>
      <c r="M131" s="53"/>
      <c r="N131" s="53"/>
      <c r="O131" s="59"/>
    </row>
    <row r="132" spans="2:15" ht="13.9" x14ac:dyDescent="0.35">
      <c r="B132" s="50" t="s">
        <v>191</v>
      </c>
      <c r="C132" s="51" t="s">
        <v>202</v>
      </c>
      <c r="D132" s="52" t="s">
        <v>11</v>
      </c>
      <c r="E132" s="52" t="s">
        <v>34</v>
      </c>
      <c r="F132" s="53">
        <v>1</v>
      </c>
      <c r="G132" s="53">
        <v>2352</v>
      </c>
      <c r="H132" s="33" t="str">
        <f>VLOOKUP(B132,Sheet1!A:B,2,0)</f>
        <v>Jiangsu</v>
      </c>
      <c r="I132" s="33" t="str">
        <f>VLOOKUP(C132,Sheet1!C:D,2,0)</f>
        <v>Suzhou</v>
      </c>
      <c r="J132" s="52" t="s">
        <v>11</v>
      </c>
      <c r="K132" s="52" t="s">
        <v>35</v>
      </c>
      <c r="L132" s="52" t="s">
        <v>207</v>
      </c>
      <c r="M132" s="53"/>
      <c r="N132" s="53"/>
      <c r="O132" s="59"/>
    </row>
    <row r="133" spans="2:15" ht="13.9" x14ac:dyDescent="0.35">
      <c r="B133" s="50" t="s">
        <v>191</v>
      </c>
      <c r="C133" s="51" t="s">
        <v>202</v>
      </c>
      <c r="D133" s="52" t="s">
        <v>4</v>
      </c>
      <c r="E133" s="52" t="s">
        <v>34</v>
      </c>
      <c r="F133" s="53">
        <v>1</v>
      </c>
      <c r="G133" s="53">
        <v>660</v>
      </c>
      <c r="H133" s="33" t="str">
        <f>VLOOKUP(B133,Sheet1!A:B,2,0)</f>
        <v>Jiangsu</v>
      </c>
      <c r="I133" s="33" t="str">
        <f>VLOOKUP(C133,Sheet1!C:D,2,0)</f>
        <v>Suzhou</v>
      </c>
      <c r="J133" s="52" t="s">
        <v>4</v>
      </c>
      <c r="K133" s="52" t="s">
        <v>35</v>
      </c>
      <c r="L133" s="52" t="s">
        <v>208</v>
      </c>
      <c r="M133" s="53"/>
      <c r="N133" s="53"/>
      <c r="O133" s="59"/>
    </row>
    <row r="134" spans="2:15" ht="13.9" x14ac:dyDescent="0.35">
      <c r="B134" s="50" t="s">
        <v>191</v>
      </c>
      <c r="C134" s="51" t="s">
        <v>202</v>
      </c>
      <c r="D134" s="62" t="s">
        <v>5</v>
      </c>
      <c r="E134" s="52" t="s">
        <v>34</v>
      </c>
      <c r="F134" s="53">
        <v>1</v>
      </c>
      <c r="G134" s="53">
        <v>960</v>
      </c>
      <c r="H134" s="33" t="str">
        <f>VLOOKUP(B134,Sheet1!A:B,2,0)</f>
        <v>Jiangsu</v>
      </c>
      <c r="I134" s="33" t="str">
        <f>VLOOKUP(C134,Sheet1!C:D,2,0)</f>
        <v>Suzhou</v>
      </c>
      <c r="J134" s="62" t="s">
        <v>5</v>
      </c>
      <c r="K134" s="52" t="s">
        <v>35</v>
      </c>
      <c r="L134" s="52" t="s">
        <v>209</v>
      </c>
      <c r="M134" s="53"/>
      <c r="N134" s="53"/>
      <c r="O134" s="59"/>
    </row>
    <row r="135" spans="2:15" ht="13.9" x14ac:dyDescent="0.35">
      <c r="B135" s="50" t="s">
        <v>191</v>
      </c>
      <c r="C135" s="51" t="s">
        <v>202</v>
      </c>
      <c r="D135" s="52" t="s">
        <v>6</v>
      </c>
      <c r="E135" s="52" t="s">
        <v>34</v>
      </c>
      <c r="F135" s="53">
        <v>1</v>
      </c>
      <c r="G135" s="53">
        <v>1380</v>
      </c>
      <c r="H135" s="33" t="str">
        <f>VLOOKUP(B135,Sheet1!A:B,2,0)</f>
        <v>Jiangsu</v>
      </c>
      <c r="I135" s="33" t="str">
        <f>VLOOKUP(C135,Sheet1!C:D,2,0)</f>
        <v>Suzhou</v>
      </c>
      <c r="J135" s="52" t="s">
        <v>6</v>
      </c>
      <c r="K135" s="52" t="s">
        <v>35</v>
      </c>
      <c r="L135" s="52" t="s">
        <v>210</v>
      </c>
      <c r="M135" s="53"/>
      <c r="N135" s="53"/>
      <c r="O135" s="59"/>
    </row>
    <row r="136" spans="2:15" ht="13.9" x14ac:dyDescent="0.35">
      <c r="B136" s="50" t="s">
        <v>191</v>
      </c>
      <c r="C136" s="51" t="s">
        <v>202</v>
      </c>
      <c r="D136" s="50" t="s">
        <v>47</v>
      </c>
      <c r="E136" s="52" t="s">
        <v>48</v>
      </c>
      <c r="F136" s="53">
        <v>1</v>
      </c>
      <c r="G136" s="53">
        <v>2352</v>
      </c>
      <c r="H136" s="33" t="str">
        <f>VLOOKUP(B136,Sheet1!A:B,2,0)</f>
        <v>Jiangsu</v>
      </c>
      <c r="I136" s="33" t="str">
        <f>VLOOKUP(C136,Sheet1!C:D,2,0)</f>
        <v>Suzhou</v>
      </c>
      <c r="J136" s="50" t="s">
        <v>49</v>
      </c>
      <c r="K136" s="52" t="s">
        <v>50</v>
      </c>
      <c r="L136" s="52" t="s">
        <v>211</v>
      </c>
      <c r="M136" s="53"/>
      <c r="N136" s="53"/>
      <c r="O136" s="59"/>
    </row>
    <row r="137" spans="2:15" ht="13.9" x14ac:dyDescent="0.35">
      <c r="B137" s="50" t="s">
        <v>191</v>
      </c>
      <c r="C137" s="63" t="s">
        <v>212</v>
      </c>
      <c r="D137" s="52" t="s">
        <v>8</v>
      </c>
      <c r="E137" s="52" t="s">
        <v>34</v>
      </c>
      <c r="F137" s="53">
        <v>1</v>
      </c>
      <c r="G137" s="53">
        <v>2700</v>
      </c>
      <c r="H137" s="33" t="str">
        <f>VLOOKUP(B137,Sheet1!A:B,2,0)</f>
        <v>Jiangsu</v>
      </c>
      <c r="I137" s="33" t="str">
        <f>VLOOKUP(C137,Sheet1!C:D,2,0)</f>
        <v>Yangzhou</v>
      </c>
      <c r="J137" s="52" t="s">
        <v>8</v>
      </c>
      <c r="K137" s="52" t="s">
        <v>35</v>
      </c>
      <c r="L137" s="52" t="s">
        <v>213</v>
      </c>
      <c r="M137" s="53"/>
      <c r="N137" s="53"/>
      <c r="O137" s="59"/>
    </row>
    <row r="138" spans="2:15" ht="13.9" x14ac:dyDescent="0.35">
      <c r="B138" s="50" t="s">
        <v>191</v>
      </c>
      <c r="C138" s="63" t="s">
        <v>212</v>
      </c>
      <c r="D138" s="52" t="s">
        <v>5</v>
      </c>
      <c r="E138" s="52" t="s">
        <v>34</v>
      </c>
      <c r="F138" s="53">
        <v>1</v>
      </c>
      <c r="G138" s="53">
        <v>2160</v>
      </c>
      <c r="H138" s="33" t="str">
        <f>VLOOKUP(B138,Sheet1!A:B,2,0)</f>
        <v>Jiangsu</v>
      </c>
      <c r="I138" s="33" t="str">
        <f>VLOOKUP(C138,Sheet1!C:D,2,0)</f>
        <v>Yangzhou</v>
      </c>
      <c r="J138" s="52" t="s">
        <v>5</v>
      </c>
      <c r="K138" s="52" t="s">
        <v>35</v>
      </c>
      <c r="L138" s="52" t="s">
        <v>214</v>
      </c>
      <c r="M138" s="53"/>
      <c r="N138" s="53"/>
      <c r="O138" s="59"/>
    </row>
    <row r="139" spans="2:15" ht="13.9" x14ac:dyDescent="0.35">
      <c r="B139" s="50" t="s">
        <v>191</v>
      </c>
      <c r="C139" s="63" t="s">
        <v>212</v>
      </c>
      <c r="D139" s="52" t="s">
        <v>6</v>
      </c>
      <c r="E139" s="52" t="s">
        <v>34</v>
      </c>
      <c r="F139" s="53">
        <v>1</v>
      </c>
      <c r="G139" s="53">
        <v>2220</v>
      </c>
      <c r="H139" s="33" t="str">
        <f>VLOOKUP(B139,Sheet1!A:B,2,0)</f>
        <v>Jiangsu</v>
      </c>
      <c r="I139" s="33" t="str">
        <f>VLOOKUP(C139,Sheet1!C:D,2,0)</f>
        <v>Yangzhou</v>
      </c>
      <c r="J139" s="52" t="s">
        <v>6</v>
      </c>
      <c r="K139" s="52" t="s">
        <v>35</v>
      </c>
      <c r="L139" s="52" t="s">
        <v>215</v>
      </c>
      <c r="M139" s="53"/>
      <c r="N139" s="53"/>
      <c r="O139" s="59"/>
    </row>
    <row r="140" spans="2:15" ht="13.9" x14ac:dyDescent="0.35">
      <c r="B140" s="63" t="s">
        <v>216</v>
      </c>
      <c r="C140" s="63" t="s">
        <v>217</v>
      </c>
      <c r="D140" s="52" t="s">
        <v>7</v>
      </c>
      <c r="E140" s="52" t="s">
        <v>34</v>
      </c>
      <c r="F140" s="53">
        <v>3</v>
      </c>
      <c r="G140" s="53">
        <v>4320</v>
      </c>
      <c r="H140" s="33" t="str">
        <f>VLOOKUP(B140,Sheet1!A:B,2,0)</f>
        <v>Jiangxi</v>
      </c>
      <c r="I140" s="33" t="str">
        <f>VLOOKUP(C140,Sheet1!C:D,2,0)</f>
        <v>Ganzhou</v>
      </c>
      <c r="J140" s="52" t="s">
        <v>7</v>
      </c>
      <c r="K140" s="52" t="s">
        <v>35</v>
      </c>
      <c r="L140" s="52" t="s">
        <v>218</v>
      </c>
      <c r="M140" s="53"/>
      <c r="N140" s="53"/>
      <c r="O140" s="59"/>
    </row>
    <row r="141" spans="2:15" ht="13.9" x14ac:dyDescent="0.35">
      <c r="B141" s="63" t="s">
        <v>216</v>
      </c>
      <c r="C141" s="63" t="s">
        <v>217</v>
      </c>
      <c r="D141" s="52" t="s">
        <v>8</v>
      </c>
      <c r="E141" s="52" t="s">
        <v>34</v>
      </c>
      <c r="F141" s="53">
        <v>3</v>
      </c>
      <c r="G141" s="53">
        <v>4320</v>
      </c>
      <c r="H141" s="33" t="str">
        <f>VLOOKUP(B141,Sheet1!A:B,2,0)</f>
        <v>Jiangxi</v>
      </c>
      <c r="I141" s="33" t="str">
        <f>VLOOKUP(C141,Sheet1!C:D,2,0)</f>
        <v>Ganzhou</v>
      </c>
      <c r="J141" s="52" t="s">
        <v>8</v>
      </c>
      <c r="K141" s="52" t="s">
        <v>35</v>
      </c>
      <c r="L141" s="52" t="s">
        <v>219</v>
      </c>
      <c r="M141" s="53"/>
      <c r="N141" s="53"/>
      <c r="O141" s="59"/>
    </row>
    <row r="142" spans="2:15" ht="13.9" x14ac:dyDescent="0.35">
      <c r="B142" s="63" t="s">
        <v>216</v>
      </c>
      <c r="C142" s="63" t="s">
        <v>217</v>
      </c>
      <c r="D142" s="52" t="s">
        <v>9</v>
      </c>
      <c r="E142" s="52" t="s">
        <v>34</v>
      </c>
      <c r="F142" s="53">
        <v>3</v>
      </c>
      <c r="G142" s="53">
        <v>6360</v>
      </c>
      <c r="H142" s="33" t="str">
        <f>VLOOKUP(B142,Sheet1!A:B,2,0)</f>
        <v>Jiangxi</v>
      </c>
      <c r="I142" s="33" t="str">
        <f>VLOOKUP(C142,Sheet1!C:D,2,0)</f>
        <v>Ganzhou</v>
      </c>
      <c r="J142" s="52" t="s">
        <v>9</v>
      </c>
      <c r="K142" s="52" t="s">
        <v>35</v>
      </c>
      <c r="L142" s="52" t="s">
        <v>220</v>
      </c>
      <c r="M142" s="53"/>
      <c r="N142" s="53"/>
      <c r="O142" s="59"/>
    </row>
    <row r="143" spans="2:15" ht="13.9" x14ac:dyDescent="0.35">
      <c r="B143" s="63" t="s">
        <v>216</v>
      </c>
      <c r="C143" s="63" t="s">
        <v>217</v>
      </c>
      <c r="D143" s="52" t="s">
        <v>10</v>
      </c>
      <c r="E143" s="52" t="s">
        <v>34</v>
      </c>
      <c r="F143" s="53">
        <v>3</v>
      </c>
      <c r="G143" s="53">
        <v>6960</v>
      </c>
      <c r="H143" s="33" t="str">
        <f>VLOOKUP(B143,Sheet1!A:B,2,0)</f>
        <v>Jiangxi</v>
      </c>
      <c r="I143" s="33" t="str">
        <f>VLOOKUP(C143,Sheet1!C:D,2,0)</f>
        <v>Ganzhou</v>
      </c>
      <c r="J143" s="52" t="s">
        <v>10</v>
      </c>
      <c r="K143" s="52" t="s">
        <v>35</v>
      </c>
      <c r="L143" s="52" t="s">
        <v>221</v>
      </c>
      <c r="M143" s="53"/>
      <c r="N143" s="53"/>
      <c r="O143" s="59"/>
    </row>
    <row r="144" spans="2:15" ht="13.9" x14ac:dyDescent="0.35">
      <c r="B144" s="63" t="s">
        <v>216</v>
      </c>
      <c r="C144" s="63" t="s">
        <v>217</v>
      </c>
      <c r="D144" s="52" t="s">
        <v>11</v>
      </c>
      <c r="E144" s="52" t="s">
        <v>34</v>
      </c>
      <c r="F144" s="53">
        <v>3</v>
      </c>
      <c r="G144" s="53">
        <v>7560</v>
      </c>
      <c r="H144" s="33" t="str">
        <f>VLOOKUP(B144,Sheet1!A:B,2,0)</f>
        <v>Jiangxi</v>
      </c>
      <c r="I144" s="33" t="str">
        <f>VLOOKUP(C144,Sheet1!C:D,2,0)</f>
        <v>Ganzhou</v>
      </c>
      <c r="J144" s="52" t="s">
        <v>11</v>
      </c>
      <c r="K144" s="52" t="s">
        <v>35</v>
      </c>
      <c r="L144" s="52" t="s">
        <v>222</v>
      </c>
      <c r="M144" s="53"/>
      <c r="N144" s="53"/>
      <c r="O144" s="59"/>
    </row>
    <row r="145" spans="2:15" ht="13.9" x14ac:dyDescent="0.35">
      <c r="B145" s="63" t="s">
        <v>216</v>
      </c>
      <c r="C145" s="63" t="s">
        <v>217</v>
      </c>
      <c r="D145" s="52" t="s">
        <v>4</v>
      </c>
      <c r="E145" s="52" t="s">
        <v>34</v>
      </c>
      <c r="F145" s="53">
        <v>3</v>
      </c>
      <c r="G145" s="53">
        <v>2640</v>
      </c>
      <c r="H145" s="33" t="str">
        <f>VLOOKUP(B145,Sheet1!A:B,2,0)</f>
        <v>Jiangxi</v>
      </c>
      <c r="I145" s="33" t="str">
        <f>VLOOKUP(C145,Sheet1!C:D,2,0)</f>
        <v>Ganzhou</v>
      </c>
      <c r="J145" s="52" t="s">
        <v>4</v>
      </c>
      <c r="K145" s="52" t="s">
        <v>35</v>
      </c>
      <c r="L145" s="52" t="s">
        <v>223</v>
      </c>
      <c r="M145" s="53"/>
      <c r="N145" s="53"/>
      <c r="O145" s="59"/>
    </row>
    <row r="146" spans="2:15" ht="13.9" x14ac:dyDescent="0.35">
      <c r="B146" s="63" t="s">
        <v>216</v>
      </c>
      <c r="C146" s="63" t="s">
        <v>217</v>
      </c>
      <c r="D146" s="52" t="s">
        <v>6</v>
      </c>
      <c r="E146" s="52" t="s">
        <v>34</v>
      </c>
      <c r="F146" s="53">
        <v>3</v>
      </c>
      <c r="G146" s="53">
        <v>4200</v>
      </c>
      <c r="H146" s="33" t="str">
        <f>VLOOKUP(B146,Sheet1!A:B,2,0)</f>
        <v>Jiangxi</v>
      </c>
      <c r="I146" s="33" t="str">
        <f>VLOOKUP(C146,Sheet1!C:D,2,0)</f>
        <v>Ganzhou</v>
      </c>
      <c r="J146" s="52" t="s">
        <v>6</v>
      </c>
      <c r="K146" s="52" t="s">
        <v>35</v>
      </c>
      <c r="L146" s="52" t="s">
        <v>224</v>
      </c>
      <c r="M146" s="53"/>
      <c r="N146" s="53"/>
      <c r="O146" s="59"/>
    </row>
    <row r="147" spans="2:15" ht="13.9" x14ac:dyDescent="0.35">
      <c r="B147" s="63" t="s">
        <v>216</v>
      </c>
      <c r="C147" s="63" t="s">
        <v>217</v>
      </c>
      <c r="D147" s="50" t="s">
        <v>47</v>
      </c>
      <c r="E147" s="52" t="s">
        <v>48</v>
      </c>
      <c r="F147" s="53">
        <v>3</v>
      </c>
      <c r="G147" s="53">
        <v>6960</v>
      </c>
      <c r="H147" s="33" t="str">
        <f>VLOOKUP(B147,Sheet1!A:B,2,0)</f>
        <v>Jiangxi</v>
      </c>
      <c r="I147" s="33" t="str">
        <f>VLOOKUP(C147,Sheet1!C:D,2,0)</f>
        <v>Ganzhou</v>
      </c>
      <c r="J147" s="50" t="s">
        <v>49</v>
      </c>
      <c r="K147" s="52" t="s">
        <v>50</v>
      </c>
      <c r="L147" s="52" t="s">
        <v>225</v>
      </c>
      <c r="M147" s="53"/>
      <c r="N147" s="53"/>
      <c r="O147" s="59"/>
    </row>
    <row r="148" spans="2:15" ht="13.9" x14ac:dyDescent="0.35">
      <c r="B148" s="63" t="s">
        <v>216</v>
      </c>
      <c r="C148" s="63" t="s">
        <v>226</v>
      </c>
      <c r="D148" s="52" t="s">
        <v>227</v>
      </c>
      <c r="E148" s="52" t="s">
        <v>97</v>
      </c>
      <c r="F148" s="53"/>
      <c r="G148" s="53"/>
      <c r="H148" s="33" t="str">
        <f>VLOOKUP(B148,Sheet1!A:B,2,0)</f>
        <v>Jiangxi</v>
      </c>
      <c r="I148" s="33" t="str">
        <f>VLOOKUP(C148,Sheet1!C:D,2,0)</f>
        <v>Nanchang</v>
      </c>
      <c r="J148" s="52" t="s">
        <v>227</v>
      </c>
      <c r="K148" s="52" t="s">
        <v>98</v>
      </c>
      <c r="L148" s="52" t="s">
        <v>228</v>
      </c>
      <c r="M148" s="53"/>
      <c r="N148" s="53"/>
      <c r="O148" s="59"/>
    </row>
    <row r="149" spans="2:15" ht="13.9" x14ac:dyDescent="0.35">
      <c r="B149" s="63" t="s">
        <v>229</v>
      </c>
      <c r="C149" s="63" t="s">
        <v>230</v>
      </c>
      <c r="D149" s="52" t="s">
        <v>7</v>
      </c>
      <c r="E149" s="52" t="s">
        <v>34</v>
      </c>
      <c r="F149" s="53">
        <v>2</v>
      </c>
      <c r="G149" s="53">
        <v>4200</v>
      </c>
      <c r="H149" s="33" t="str">
        <f>VLOOKUP(B149,Sheet1!A:B,2,0)</f>
        <v>Shandong</v>
      </c>
      <c r="I149" s="33" t="str">
        <f>VLOOKUP(C149,Sheet1!C:D,2,0)</f>
        <v>Qingdao</v>
      </c>
      <c r="J149" s="52" t="s">
        <v>7</v>
      </c>
      <c r="K149" s="52" t="s">
        <v>35</v>
      </c>
      <c r="L149" s="52" t="s">
        <v>231</v>
      </c>
      <c r="M149" s="53"/>
      <c r="N149" s="53"/>
      <c r="O149" s="59"/>
    </row>
    <row r="150" spans="2:15" ht="13.9" x14ac:dyDescent="0.35">
      <c r="B150" s="63" t="s">
        <v>229</v>
      </c>
      <c r="C150" s="63" t="s">
        <v>230</v>
      </c>
      <c r="D150" s="52" t="s">
        <v>8</v>
      </c>
      <c r="E150" s="52" t="s">
        <v>34</v>
      </c>
      <c r="F150" s="53">
        <v>2</v>
      </c>
      <c r="G150" s="53">
        <v>4200</v>
      </c>
      <c r="H150" s="33" t="str">
        <f>VLOOKUP(B150,Sheet1!A:B,2,0)</f>
        <v>Shandong</v>
      </c>
      <c r="I150" s="33" t="str">
        <f>VLOOKUP(C150,Sheet1!C:D,2,0)</f>
        <v>Qingdao</v>
      </c>
      <c r="J150" s="52" t="s">
        <v>8</v>
      </c>
      <c r="K150" s="52" t="s">
        <v>35</v>
      </c>
      <c r="L150" s="52" t="s">
        <v>232</v>
      </c>
      <c r="M150" s="53"/>
      <c r="N150" s="53"/>
      <c r="O150" s="59"/>
    </row>
    <row r="151" spans="2:15" ht="13.9" x14ac:dyDescent="0.35">
      <c r="B151" s="63" t="s">
        <v>229</v>
      </c>
      <c r="C151" s="63" t="s">
        <v>230</v>
      </c>
      <c r="D151" s="52" t="s">
        <v>4</v>
      </c>
      <c r="E151" s="52" t="s">
        <v>34</v>
      </c>
      <c r="F151" s="53">
        <v>2</v>
      </c>
      <c r="G151" s="53">
        <v>2340</v>
      </c>
      <c r="H151" s="33" t="str">
        <f>VLOOKUP(B151,Sheet1!A:B,2,0)</f>
        <v>Shandong</v>
      </c>
      <c r="I151" s="33" t="str">
        <f>VLOOKUP(C151,Sheet1!C:D,2,0)</f>
        <v>Qingdao</v>
      </c>
      <c r="J151" s="52" t="s">
        <v>4</v>
      </c>
      <c r="K151" s="52" t="s">
        <v>35</v>
      </c>
      <c r="L151" s="52" t="s">
        <v>233</v>
      </c>
      <c r="M151" s="53"/>
      <c r="N151" s="53"/>
      <c r="O151" s="59"/>
    </row>
    <row r="152" spans="2:15" ht="13.9" x14ac:dyDescent="0.35">
      <c r="B152" s="63" t="s">
        <v>229</v>
      </c>
      <c r="C152" s="63" t="s">
        <v>230</v>
      </c>
      <c r="D152" s="52" t="s">
        <v>5</v>
      </c>
      <c r="E152" s="52" t="s">
        <v>34</v>
      </c>
      <c r="F152" s="53">
        <v>2</v>
      </c>
      <c r="G152" s="53">
        <v>3600</v>
      </c>
      <c r="H152" s="33" t="str">
        <f>VLOOKUP(B152,Sheet1!A:B,2,0)</f>
        <v>Shandong</v>
      </c>
      <c r="I152" s="33" t="str">
        <f>VLOOKUP(C152,Sheet1!C:D,2,0)</f>
        <v>Qingdao</v>
      </c>
      <c r="J152" s="52" t="s">
        <v>5</v>
      </c>
      <c r="K152" s="52" t="s">
        <v>35</v>
      </c>
      <c r="L152" s="52" t="s">
        <v>234</v>
      </c>
      <c r="M152" s="53"/>
      <c r="N152" s="53"/>
      <c r="O152" s="59"/>
    </row>
    <row r="153" spans="2:15" ht="13.9" x14ac:dyDescent="0.35">
      <c r="B153" s="63" t="s">
        <v>229</v>
      </c>
      <c r="C153" s="63" t="s">
        <v>230</v>
      </c>
      <c r="D153" s="52" t="s">
        <v>6</v>
      </c>
      <c r="E153" s="52" t="s">
        <v>34</v>
      </c>
      <c r="F153" s="53">
        <v>2</v>
      </c>
      <c r="G153" s="53">
        <v>3840</v>
      </c>
      <c r="H153" s="33" t="str">
        <f>VLOOKUP(B153,Sheet1!A:B,2,0)</f>
        <v>Shandong</v>
      </c>
      <c r="I153" s="33" t="str">
        <f>VLOOKUP(C153,Sheet1!C:D,2,0)</f>
        <v>Qingdao</v>
      </c>
      <c r="J153" s="52" t="s">
        <v>6</v>
      </c>
      <c r="K153" s="52" t="s">
        <v>35</v>
      </c>
      <c r="L153" s="52" t="s">
        <v>235</v>
      </c>
      <c r="M153" s="53"/>
      <c r="N153" s="53"/>
      <c r="O153" s="59"/>
    </row>
    <row r="154" spans="2:15" ht="13.9" x14ac:dyDescent="0.35">
      <c r="B154" s="63" t="s">
        <v>229</v>
      </c>
      <c r="C154" s="63" t="s">
        <v>236</v>
      </c>
      <c r="D154" s="52" t="s">
        <v>4</v>
      </c>
      <c r="E154" s="52" t="s">
        <v>34</v>
      </c>
      <c r="F154" s="53">
        <v>2</v>
      </c>
      <c r="G154" s="53">
        <v>2640</v>
      </c>
      <c r="H154" s="33" t="str">
        <f>VLOOKUP(B154,Sheet1!A:B,2,0)</f>
        <v>Shandong</v>
      </c>
      <c r="I154" s="33" t="str">
        <f>VLOOKUP(C154,Sheet1!C:D,2,0)</f>
        <v>Tai'An</v>
      </c>
      <c r="J154" s="52" t="s">
        <v>4</v>
      </c>
      <c r="K154" s="52" t="s">
        <v>35</v>
      </c>
      <c r="L154" s="52" t="s">
        <v>237</v>
      </c>
      <c r="M154" s="53"/>
      <c r="N154" s="53"/>
      <c r="O154" s="59"/>
    </row>
    <row r="155" spans="2:15" ht="13.9" x14ac:dyDescent="0.35">
      <c r="B155" s="63" t="s">
        <v>229</v>
      </c>
      <c r="C155" s="63" t="s">
        <v>236</v>
      </c>
      <c r="D155" s="52" t="s">
        <v>5</v>
      </c>
      <c r="E155" s="52" t="s">
        <v>34</v>
      </c>
      <c r="F155" s="53">
        <v>2</v>
      </c>
      <c r="G155" s="53">
        <v>3840</v>
      </c>
      <c r="H155" s="33" t="str">
        <f>VLOOKUP(B155,Sheet1!A:B,2,0)</f>
        <v>Shandong</v>
      </c>
      <c r="I155" s="33" t="str">
        <f>VLOOKUP(C155,Sheet1!C:D,2,0)</f>
        <v>Tai'An</v>
      </c>
      <c r="J155" s="52" t="s">
        <v>5</v>
      </c>
      <c r="K155" s="52" t="s">
        <v>35</v>
      </c>
      <c r="L155" s="52" t="s">
        <v>238</v>
      </c>
      <c r="M155" s="53"/>
      <c r="N155" s="53"/>
      <c r="O155" s="59"/>
    </row>
    <row r="156" spans="2:15" ht="13.9" x14ac:dyDescent="0.35">
      <c r="B156" s="63" t="s">
        <v>229</v>
      </c>
      <c r="C156" s="63" t="s">
        <v>239</v>
      </c>
      <c r="D156" s="52" t="s">
        <v>4</v>
      </c>
      <c r="E156" s="52" t="s">
        <v>34</v>
      </c>
      <c r="F156" s="53">
        <v>2</v>
      </c>
      <c r="G156" s="53">
        <v>2760</v>
      </c>
      <c r="H156" s="33" t="str">
        <f>VLOOKUP(B156,Sheet1!A:B,2,0)</f>
        <v>Shandong</v>
      </c>
      <c r="I156" s="33" t="str">
        <f>VLOOKUP(C156,Sheet1!C:D,2,0)</f>
        <v>Weihai</v>
      </c>
      <c r="J156" s="52" t="s">
        <v>4</v>
      </c>
      <c r="K156" s="52" t="s">
        <v>35</v>
      </c>
      <c r="L156" s="52" t="s">
        <v>240</v>
      </c>
      <c r="M156" s="53"/>
      <c r="N156" s="53"/>
      <c r="O156" s="59"/>
    </row>
    <row r="157" spans="2:15" ht="13.9" x14ac:dyDescent="0.35">
      <c r="B157" s="63" t="s">
        <v>229</v>
      </c>
      <c r="C157" s="63" t="s">
        <v>241</v>
      </c>
      <c r="D157" s="52" t="s">
        <v>4</v>
      </c>
      <c r="E157" s="52" t="s">
        <v>34</v>
      </c>
      <c r="F157" s="53">
        <v>2</v>
      </c>
      <c r="G157" s="53">
        <v>2640</v>
      </c>
      <c r="H157" s="33" t="str">
        <f>VLOOKUP(B157,Sheet1!A:B,2,0)</f>
        <v>Shandong</v>
      </c>
      <c r="I157" s="33" t="str">
        <f>VLOOKUP(C157,Sheet1!C:D,2,0)</f>
        <v>Yantai</v>
      </c>
      <c r="J157" s="52" t="s">
        <v>4</v>
      </c>
      <c r="K157" s="52" t="s">
        <v>35</v>
      </c>
      <c r="L157" s="52" t="s">
        <v>242</v>
      </c>
      <c r="M157" s="53"/>
      <c r="N157" s="53"/>
      <c r="O157" s="59"/>
    </row>
    <row r="158" spans="2:15" ht="13.9" x14ac:dyDescent="0.35">
      <c r="B158" s="63" t="s">
        <v>243</v>
      </c>
      <c r="C158" s="63" t="s">
        <v>243</v>
      </c>
      <c r="D158" s="52" t="s">
        <v>7</v>
      </c>
      <c r="E158" s="52" t="s">
        <v>34</v>
      </c>
      <c r="F158" s="53">
        <v>1</v>
      </c>
      <c r="G158" s="53">
        <v>816</v>
      </c>
      <c r="H158" s="33" t="str">
        <f>VLOOKUP(B158,Sheet1!A:B,2,0)</f>
        <v>Shanghai</v>
      </c>
      <c r="I158" s="33" t="str">
        <f>VLOOKUP(C158,Sheet1!C:D,2,0)</f>
        <v>Shanghai</v>
      </c>
      <c r="J158" s="52" t="s">
        <v>7</v>
      </c>
      <c r="K158" s="52" t="s">
        <v>35</v>
      </c>
      <c r="L158" s="52" t="s">
        <v>244</v>
      </c>
      <c r="M158" s="53"/>
      <c r="N158" s="53"/>
      <c r="O158" s="59"/>
    </row>
    <row r="159" spans="2:15" ht="13.9" x14ac:dyDescent="0.35">
      <c r="B159" s="63" t="s">
        <v>243</v>
      </c>
      <c r="C159" s="63" t="s">
        <v>243</v>
      </c>
      <c r="D159" s="52" t="s">
        <v>4</v>
      </c>
      <c r="E159" s="52" t="s">
        <v>34</v>
      </c>
      <c r="F159" s="53">
        <v>1</v>
      </c>
      <c r="G159" s="53">
        <v>300</v>
      </c>
      <c r="H159" s="33" t="str">
        <f>VLOOKUP(B159,Sheet1!A:B,2,0)</f>
        <v>Shanghai</v>
      </c>
      <c r="I159" s="33" t="str">
        <f>VLOOKUP(C159,Sheet1!C:D,2,0)</f>
        <v>Shanghai</v>
      </c>
      <c r="J159" s="52" t="s">
        <v>4</v>
      </c>
      <c r="K159" s="52" t="s">
        <v>35</v>
      </c>
      <c r="L159" s="52" t="s">
        <v>245</v>
      </c>
      <c r="M159" s="53"/>
      <c r="N159" s="53"/>
      <c r="O159" s="59"/>
    </row>
    <row r="160" spans="2:15" ht="13.9" x14ac:dyDescent="0.35">
      <c r="B160" s="63" t="s">
        <v>243</v>
      </c>
      <c r="C160" s="63" t="s">
        <v>243</v>
      </c>
      <c r="D160" s="52" t="s">
        <v>5</v>
      </c>
      <c r="E160" s="52" t="s">
        <v>34</v>
      </c>
      <c r="F160" s="53">
        <v>1</v>
      </c>
      <c r="G160" s="53">
        <v>600</v>
      </c>
      <c r="H160" s="33" t="str">
        <f>VLOOKUP(B160,Sheet1!A:B,2,0)</f>
        <v>Shanghai</v>
      </c>
      <c r="I160" s="33" t="str">
        <f>VLOOKUP(C160,Sheet1!C:D,2,0)</f>
        <v>Shanghai</v>
      </c>
      <c r="J160" s="52" t="s">
        <v>5</v>
      </c>
      <c r="K160" s="52" t="s">
        <v>35</v>
      </c>
      <c r="L160" s="52" t="s">
        <v>246</v>
      </c>
      <c r="M160" s="53"/>
      <c r="N160" s="53"/>
      <c r="O160" s="59"/>
    </row>
    <row r="161" spans="2:15" ht="13.9" x14ac:dyDescent="0.35">
      <c r="B161" s="63" t="s">
        <v>243</v>
      </c>
      <c r="C161" s="63" t="s">
        <v>243</v>
      </c>
      <c r="D161" s="52" t="s">
        <v>6</v>
      </c>
      <c r="E161" s="52" t="s">
        <v>34</v>
      </c>
      <c r="F161" s="53">
        <v>1</v>
      </c>
      <c r="G161" s="53">
        <v>720</v>
      </c>
      <c r="H161" s="33" t="str">
        <f>VLOOKUP(B161,Sheet1!A:B,2,0)</f>
        <v>Shanghai</v>
      </c>
      <c r="I161" s="33" t="str">
        <f>VLOOKUP(C161,Sheet1!C:D,2,0)</f>
        <v>Shanghai</v>
      </c>
      <c r="J161" s="52" t="s">
        <v>6</v>
      </c>
      <c r="K161" s="52" t="s">
        <v>35</v>
      </c>
      <c r="L161" s="52" t="s">
        <v>247</v>
      </c>
      <c r="M161" s="53"/>
      <c r="N161" s="53"/>
      <c r="O161" s="59"/>
    </row>
    <row r="162" spans="2:15" ht="13.9" x14ac:dyDescent="0.35">
      <c r="B162" s="63" t="s">
        <v>243</v>
      </c>
      <c r="C162" s="63" t="s">
        <v>243</v>
      </c>
      <c r="D162" s="52" t="s">
        <v>96</v>
      </c>
      <c r="E162" s="52" t="s">
        <v>97</v>
      </c>
      <c r="F162" s="53"/>
      <c r="G162" s="53"/>
      <c r="H162" s="33" t="str">
        <f>VLOOKUP(B162,Sheet1!A:B,2,0)</f>
        <v>Shanghai</v>
      </c>
      <c r="I162" s="33" t="str">
        <f>VLOOKUP(C162,Sheet1!C:D,2,0)</f>
        <v>Shanghai</v>
      </c>
      <c r="J162" s="52" t="s">
        <v>96</v>
      </c>
      <c r="K162" s="52" t="s">
        <v>98</v>
      </c>
      <c r="L162" s="52" t="s">
        <v>248</v>
      </c>
      <c r="M162" s="53"/>
      <c r="N162" s="53"/>
      <c r="O162" s="59"/>
    </row>
    <row r="163" spans="2:15" ht="13.9" x14ac:dyDescent="0.35">
      <c r="B163" s="63" t="s">
        <v>243</v>
      </c>
      <c r="C163" s="63" t="s">
        <v>243</v>
      </c>
      <c r="D163" s="52" t="s">
        <v>105</v>
      </c>
      <c r="E163" s="52" t="s">
        <v>97</v>
      </c>
      <c r="F163" s="53"/>
      <c r="G163" s="53"/>
      <c r="H163" s="33" t="str">
        <f>VLOOKUP(B163,Sheet1!A:B,2,0)</f>
        <v>Shanghai</v>
      </c>
      <c r="I163" s="33" t="str">
        <f>VLOOKUP(C163,Sheet1!C:D,2,0)</f>
        <v>Shanghai</v>
      </c>
      <c r="J163" s="52" t="s">
        <v>105</v>
      </c>
      <c r="K163" s="52" t="s">
        <v>98</v>
      </c>
      <c r="L163" s="52" t="s">
        <v>249</v>
      </c>
      <c r="M163" s="53"/>
      <c r="N163" s="53"/>
      <c r="O163" s="59"/>
    </row>
    <row r="164" spans="2:15" ht="13.9" x14ac:dyDescent="0.35">
      <c r="B164" s="63" t="s">
        <v>243</v>
      </c>
      <c r="C164" s="63" t="s">
        <v>243</v>
      </c>
      <c r="D164" s="50" t="s">
        <v>250</v>
      </c>
      <c r="E164" s="52" t="s">
        <v>48</v>
      </c>
      <c r="F164" s="53">
        <v>1</v>
      </c>
      <c r="G164" s="53">
        <v>1380</v>
      </c>
      <c r="H164" s="33" t="str">
        <f>VLOOKUP(B164,Sheet1!A:B,2,0)</f>
        <v>Shanghai</v>
      </c>
      <c r="I164" s="33" t="str">
        <f>VLOOKUP(C164,Sheet1!C:D,2,0)</f>
        <v>Shanghai</v>
      </c>
      <c r="J164" s="50" t="s">
        <v>251</v>
      </c>
      <c r="K164" s="52" t="s">
        <v>50</v>
      </c>
      <c r="L164" s="52" t="s">
        <v>252</v>
      </c>
      <c r="M164" s="53"/>
      <c r="N164" s="53"/>
      <c r="O164" s="59"/>
    </row>
    <row r="165" spans="2:15" ht="13.9" x14ac:dyDescent="0.35">
      <c r="B165" s="63" t="s">
        <v>243</v>
      </c>
      <c r="C165" s="63" t="s">
        <v>243</v>
      </c>
      <c r="D165" s="50" t="s">
        <v>47</v>
      </c>
      <c r="E165" s="52" t="s">
        <v>48</v>
      </c>
      <c r="F165" s="53">
        <v>1</v>
      </c>
      <c r="G165" s="53">
        <v>1380</v>
      </c>
      <c r="H165" s="33" t="str">
        <f>VLOOKUP(B165,Sheet1!A:B,2,0)</f>
        <v>Shanghai</v>
      </c>
      <c r="I165" s="33" t="str">
        <f>VLOOKUP(C165,Sheet1!C:D,2,0)</f>
        <v>Shanghai</v>
      </c>
      <c r="J165" s="50" t="s">
        <v>49</v>
      </c>
      <c r="K165" s="52" t="s">
        <v>50</v>
      </c>
      <c r="L165" s="52" t="s">
        <v>253</v>
      </c>
      <c r="M165" s="53"/>
      <c r="N165" s="53"/>
      <c r="O165" s="59"/>
    </row>
    <row r="166" spans="2:15" ht="13.9" x14ac:dyDescent="0.35">
      <c r="B166" s="63" t="s">
        <v>243</v>
      </c>
      <c r="C166" s="63" t="s">
        <v>243</v>
      </c>
      <c r="D166" s="50" t="s">
        <v>10</v>
      </c>
      <c r="E166" s="52" t="s">
        <v>34</v>
      </c>
      <c r="F166" s="53">
        <v>1</v>
      </c>
      <c r="G166" s="53">
        <v>1380</v>
      </c>
      <c r="H166" s="33" t="str">
        <f>VLOOKUP(B166,Sheet1!A:B,2,0)</f>
        <v>Shanghai</v>
      </c>
      <c r="I166" s="33" t="str">
        <f>VLOOKUP(C166,Sheet1!C:D,2,0)</f>
        <v>Shanghai</v>
      </c>
      <c r="J166" s="50" t="s">
        <v>10</v>
      </c>
      <c r="K166" s="52" t="s">
        <v>35</v>
      </c>
      <c r="L166" s="52" t="s">
        <v>254</v>
      </c>
      <c r="M166" s="53"/>
      <c r="N166" s="53"/>
      <c r="O166" s="59"/>
    </row>
    <row r="167" spans="2:15" ht="13.9" x14ac:dyDescent="0.35">
      <c r="B167" s="63" t="s">
        <v>255</v>
      </c>
      <c r="C167" s="63" t="s">
        <v>256</v>
      </c>
      <c r="D167" s="52" t="s">
        <v>7</v>
      </c>
      <c r="E167" s="52" t="s">
        <v>34</v>
      </c>
      <c r="F167" s="53">
        <v>3</v>
      </c>
      <c r="G167" s="53">
        <v>6600</v>
      </c>
      <c r="H167" s="33" t="s">
        <v>257</v>
      </c>
      <c r="I167" s="33" t="str">
        <f>VLOOKUP(C167,Sheet1!C:D,2,0)</f>
        <v>Ankang</v>
      </c>
      <c r="J167" s="52" t="s">
        <v>7</v>
      </c>
      <c r="K167" s="52" t="s">
        <v>35</v>
      </c>
      <c r="L167" s="52" t="str">
        <f>H167&amp;I167&amp;J167&amp;K167</f>
        <v>ShanxiAnkang10TDRY</v>
      </c>
      <c r="M167" s="53"/>
      <c r="N167" s="53"/>
      <c r="O167" s="59"/>
    </row>
    <row r="168" spans="2:15" ht="13.9" x14ac:dyDescent="0.35">
      <c r="B168" s="63" t="s">
        <v>255</v>
      </c>
      <c r="C168" s="63" t="s">
        <v>256</v>
      </c>
      <c r="D168" s="52" t="s">
        <v>9</v>
      </c>
      <c r="E168" s="52" t="s">
        <v>34</v>
      </c>
      <c r="F168" s="53">
        <v>3</v>
      </c>
      <c r="G168" s="53">
        <v>11400</v>
      </c>
      <c r="H168" s="33" t="s">
        <v>257</v>
      </c>
      <c r="I168" s="33" t="str">
        <f>VLOOKUP(C168,Sheet1!C:D,2,0)</f>
        <v>Ankang</v>
      </c>
      <c r="J168" s="52" t="s">
        <v>9</v>
      </c>
      <c r="K168" s="52" t="s">
        <v>35</v>
      </c>
      <c r="L168" s="52" t="str">
        <f t="shared" ref="L168:L175" si="0">H168&amp;I168&amp;J168&amp;K168</f>
        <v>ShanxiAnkang15TDRY</v>
      </c>
      <c r="M168" s="53"/>
      <c r="N168" s="53"/>
      <c r="O168" s="59"/>
    </row>
    <row r="169" spans="2:15" ht="13.9" x14ac:dyDescent="0.35">
      <c r="B169" s="63" t="s">
        <v>255</v>
      </c>
      <c r="C169" s="63" t="s">
        <v>256</v>
      </c>
      <c r="D169" s="52" t="s">
        <v>10</v>
      </c>
      <c r="E169" s="52" t="s">
        <v>34</v>
      </c>
      <c r="F169" s="53">
        <v>3</v>
      </c>
      <c r="G169" s="53">
        <v>11640</v>
      </c>
      <c r="H169" s="33" t="s">
        <v>257</v>
      </c>
      <c r="I169" s="33" t="str">
        <f>VLOOKUP(C169,Sheet1!C:D,2,0)</f>
        <v>Ankang</v>
      </c>
      <c r="J169" s="52" t="s">
        <v>10</v>
      </c>
      <c r="K169" s="52" t="s">
        <v>35</v>
      </c>
      <c r="L169" s="52" t="str">
        <f t="shared" si="0"/>
        <v>ShanxiAnkang25TDRY</v>
      </c>
      <c r="M169" s="53"/>
      <c r="N169" s="53"/>
      <c r="O169" s="59"/>
    </row>
    <row r="170" spans="2:15" ht="13.9" x14ac:dyDescent="0.35">
      <c r="B170" s="63" t="s">
        <v>255</v>
      </c>
      <c r="C170" s="63" t="s">
        <v>256</v>
      </c>
      <c r="D170" s="52" t="s">
        <v>11</v>
      </c>
      <c r="E170" s="52" t="s">
        <v>34</v>
      </c>
      <c r="F170" s="53">
        <v>3</v>
      </c>
      <c r="G170" s="53">
        <v>11640</v>
      </c>
      <c r="H170" s="33" t="s">
        <v>257</v>
      </c>
      <c r="I170" s="33" t="str">
        <f>VLOOKUP(C170,Sheet1!C:D,2,0)</f>
        <v>Ankang</v>
      </c>
      <c r="J170" s="52" t="s">
        <v>11</v>
      </c>
      <c r="K170" s="52" t="s">
        <v>35</v>
      </c>
      <c r="L170" s="52" t="str">
        <f t="shared" si="0"/>
        <v>ShanxiAnkang26TDRY</v>
      </c>
      <c r="M170" s="53"/>
      <c r="N170" s="53"/>
      <c r="O170" s="59"/>
    </row>
    <row r="171" spans="2:15" ht="13.9" x14ac:dyDescent="0.35">
      <c r="B171" s="63" t="s">
        <v>255</v>
      </c>
      <c r="C171" s="63" t="s">
        <v>256</v>
      </c>
      <c r="D171" s="52" t="s">
        <v>4</v>
      </c>
      <c r="E171" s="52" t="s">
        <v>34</v>
      </c>
      <c r="F171" s="53">
        <v>3</v>
      </c>
      <c r="G171" s="53">
        <v>3960</v>
      </c>
      <c r="H171" s="33" t="s">
        <v>257</v>
      </c>
      <c r="I171" s="33" t="str">
        <f>VLOOKUP(C171,Sheet1!C:D,2,0)</f>
        <v>Ankang</v>
      </c>
      <c r="J171" s="52" t="s">
        <v>4</v>
      </c>
      <c r="K171" s="52" t="s">
        <v>35</v>
      </c>
      <c r="L171" s="52" t="str">
        <f t="shared" si="0"/>
        <v>ShanxiAnkang3TDRY</v>
      </c>
      <c r="M171" s="53"/>
      <c r="N171" s="53"/>
      <c r="O171" s="59"/>
    </row>
    <row r="172" spans="2:15" ht="13.9" x14ac:dyDescent="0.35">
      <c r="B172" s="63" t="s">
        <v>255</v>
      </c>
      <c r="C172" s="63" t="s">
        <v>256</v>
      </c>
      <c r="D172" s="62" t="s">
        <v>5</v>
      </c>
      <c r="E172" s="52" t="s">
        <v>34</v>
      </c>
      <c r="F172" s="53">
        <v>3</v>
      </c>
      <c r="G172" s="53">
        <v>5760</v>
      </c>
      <c r="H172" s="33" t="s">
        <v>257</v>
      </c>
      <c r="I172" s="33" t="str">
        <f>VLOOKUP(C172,Sheet1!C:D,2,0)</f>
        <v>Ankang</v>
      </c>
      <c r="J172" s="62" t="s">
        <v>5</v>
      </c>
      <c r="K172" s="52" t="s">
        <v>35</v>
      </c>
      <c r="L172" s="52" t="str">
        <f t="shared" si="0"/>
        <v>ShanxiAnkang5TDRY</v>
      </c>
      <c r="M172" s="53"/>
      <c r="N172" s="53"/>
      <c r="O172" s="59"/>
    </row>
    <row r="173" spans="2:15" ht="13.9" x14ac:dyDescent="0.35">
      <c r="B173" s="63" t="s">
        <v>255</v>
      </c>
      <c r="C173" s="63" t="s">
        <v>256</v>
      </c>
      <c r="D173" s="52" t="s">
        <v>6</v>
      </c>
      <c r="E173" s="52" t="s">
        <v>34</v>
      </c>
      <c r="F173" s="53">
        <v>3</v>
      </c>
      <c r="G173" s="53">
        <v>6240</v>
      </c>
      <c r="H173" s="33" t="s">
        <v>257</v>
      </c>
      <c r="I173" s="33" t="str">
        <f>VLOOKUP(C173,Sheet1!C:D,2,0)</f>
        <v>Ankang</v>
      </c>
      <c r="J173" s="52" t="s">
        <v>6</v>
      </c>
      <c r="K173" s="52" t="s">
        <v>35</v>
      </c>
      <c r="L173" s="52" t="str">
        <f t="shared" si="0"/>
        <v>ShanxiAnkang8TDRY</v>
      </c>
      <c r="M173" s="53"/>
      <c r="N173" s="53"/>
      <c r="O173" s="59"/>
    </row>
    <row r="174" spans="2:15" ht="13.9" x14ac:dyDescent="0.35">
      <c r="B174" s="63" t="s">
        <v>255</v>
      </c>
      <c r="C174" s="63" t="s">
        <v>256</v>
      </c>
      <c r="D174" s="52" t="s">
        <v>258</v>
      </c>
      <c r="E174" s="52" t="s">
        <v>48</v>
      </c>
      <c r="F174" s="53">
        <v>3</v>
      </c>
      <c r="G174" s="53">
        <v>7560</v>
      </c>
      <c r="H174" s="33" t="s">
        <v>257</v>
      </c>
      <c r="I174" s="33" t="str">
        <f>VLOOKUP(C174,Sheet1!C:D,2,0)</f>
        <v>Ankang</v>
      </c>
      <c r="J174" s="52" t="s">
        <v>258</v>
      </c>
      <c r="K174" s="52" t="s">
        <v>50</v>
      </c>
      <c r="L174" s="52" t="str">
        <f t="shared" si="0"/>
        <v>ShanxiAnkang20'GPDRY - SOC</v>
      </c>
      <c r="M174" s="53"/>
      <c r="N174" s="53"/>
      <c r="O174" s="59"/>
    </row>
    <row r="175" spans="2:15" ht="13.9" x14ac:dyDescent="0.35">
      <c r="B175" s="63" t="s">
        <v>255</v>
      </c>
      <c r="C175" s="63" t="s">
        <v>256</v>
      </c>
      <c r="D175" s="50" t="s">
        <v>47</v>
      </c>
      <c r="E175" s="52" t="s">
        <v>48</v>
      </c>
      <c r="F175" s="53">
        <v>3</v>
      </c>
      <c r="G175" s="53">
        <v>11940</v>
      </c>
      <c r="H175" s="33" t="s">
        <v>257</v>
      </c>
      <c r="I175" s="33" t="str">
        <f>VLOOKUP(C175,Sheet1!C:D,2,0)</f>
        <v>Ankang</v>
      </c>
      <c r="J175" s="50" t="s">
        <v>49</v>
      </c>
      <c r="K175" s="52" t="s">
        <v>50</v>
      </c>
      <c r="L175" s="52" t="str">
        <f t="shared" si="0"/>
        <v>ShanxiAnkang40'HQDRY - SOC</v>
      </c>
      <c r="M175" s="53"/>
      <c r="N175" s="53"/>
      <c r="O175" s="59"/>
    </row>
    <row r="176" spans="2:15" ht="13.9" x14ac:dyDescent="0.35">
      <c r="B176" s="63" t="s">
        <v>259</v>
      </c>
      <c r="C176" s="63" t="s">
        <v>260</v>
      </c>
      <c r="D176" s="52" t="s">
        <v>10</v>
      </c>
      <c r="E176" s="52" t="s">
        <v>34</v>
      </c>
      <c r="F176" s="53">
        <v>1</v>
      </c>
      <c r="G176" s="53">
        <v>2700</v>
      </c>
      <c r="H176" s="33" t="str">
        <f>VLOOKUP(B176,Sheet1!A:B,2,0)</f>
        <v>Zhejiang</v>
      </c>
      <c r="I176" s="33" t="str">
        <f>VLOOKUP(C176,Sheet1!C:D,2,0)</f>
        <v>Huzhou</v>
      </c>
      <c r="J176" s="52" t="s">
        <v>10</v>
      </c>
      <c r="K176" s="52" t="s">
        <v>35</v>
      </c>
      <c r="L176" s="52" t="s">
        <v>261</v>
      </c>
      <c r="M176" s="53"/>
      <c r="N176" s="53"/>
      <c r="O176" s="59"/>
    </row>
    <row r="177" spans="2:15" ht="13.9" x14ac:dyDescent="0.35">
      <c r="B177" s="63" t="s">
        <v>259</v>
      </c>
      <c r="C177" s="63" t="s">
        <v>260</v>
      </c>
      <c r="D177" s="52" t="s">
        <v>11</v>
      </c>
      <c r="E177" s="52" t="s">
        <v>34</v>
      </c>
      <c r="F177" s="53">
        <v>1</v>
      </c>
      <c r="G177" s="53">
        <v>2820</v>
      </c>
      <c r="H177" s="33" t="str">
        <f>VLOOKUP(B177,Sheet1!A:B,2,0)</f>
        <v>Zhejiang</v>
      </c>
      <c r="I177" s="33" t="str">
        <f>VLOOKUP(C177,Sheet1!C:D,2,0)</f>
        <v>Huzhou</v>
      </c>
      <c r="J177" s="52" t="s">
        <v>11</v>
      </c>
      <c r="K177" s="52" t="s">
        <v>35</v>
      </c>
      <c r="L177" s="52" t="s">
        <v>262</v>
      </c>
      <c r="M177" s="53"/>
      <c r="N177" s="53"/>
      <c r="O177" s="59"/>
    </row>
    <row r="178" spans="2:15" ht="13.9" x14ac:dyDescent="0.35">
      <c r="B178" s="63" t="s">
        <v>259</v>
      </c>
      <c r="C178" s="63" t="s">
        <v>260</v>
      </c>
      <c r="D178" s="52" t="s">
        <v>4</v>
      </c>
      <c r="E178" s="52" t="s">
        <v>34</v>
      </c>
      <c r="F178" s="53">
        <v>1</v>
      </c>
      <c r="G178" s="53">
        <v>780</v>
      </c>
      <c r="H178" s="33" t="str">
        <f>VLOOKUP(B178,Sheet1!A:B,2,0)</f>
        <v>Zhejiang</v>
      </c>
      <c r="I178" s="33" t="str">
        <f>VLOOKUP(C178,Sheet1!C:D,2,0)</f>
        <v>Huzhou</v>
      </c>
      <c r="J178" s="52" t="s">
        <v>4</v>
      </c>
      <c r="K178" s="52" t="s">
        <v>35</v>
      </c>
      <c r="L178" s="52" t="s">
        <v>263</v>
      </c>
      <c r="M178" s="53"/>
      <c r="N178" s="53"/>
      <c r="O178" s="59"/>
    </row>
    <row r="179" spans="2:15" ht="13.9" x14ac:dyDescent="0.35">
      <c r="B179" s="63" t="s">
        <v>259</v>
      </c>
      <c r="C179" s="63" t="s">
        <v>260</v>
      </c>
      <c r="D179" s="52" t="s">
        <v>5</v>
      </c>
      <c r="E179" s="52" t="s">
        <v>34</v>
      </c>
      <c r="F179" s="53">
        <v>1</v>
      </c>
      <c r="G179" s="53">
        <v>1380</v>
      </c>
      <c r="H179" s="33" t="str">
        <f>VLOOKUP(B179,Sheet1!A:B,2,0)</f>
        <v>Zhejiang</v>
      </c>
      <c r="I179" s="33" t="str">
        <f>VLOOKUP(C179,Sheet1!C:D,2,0)</f>
        <v>Huzhou</v>
      </c>
      <c r="J179" s="52" t="s">
        <v>5</v>
      </c>
      <c r="K179" s="52" t="s">
        <v>35</v>
      </c>
      <c r="L179" s="52" t="s">
        <v>264</v>
      </c>
      <c r="M179" s="53"/>
      <c r="N179" s="53"/>
      <c r="O179" s="59"/>
    </row>
    <row r="180" spans="2:15" ht="13.9" x14ac:dyDescent="0.35">
      <c r="B180" s="63" t="s">
        <v>259</v>
      </c>
      <c r="C180" s="63" t="s">
        <v>260</v>
      </c>
      <c r="D180" s="52" t="s">
        <v>6</v>
      </c>
      <c r="E180" s="52" t="s">
        <v>34</v>
      </c>
      <c r="F180" s="53">
        <v>1</v>
      </c>
      <c r="G180" s="53">
        <v>1512</v>
      </c>
      <c r="H180" s="33" t="str">
        <f>VLOOKUP(B180,Sheet1!A:B,2,0)</f>
        <v>Zhejiang</v>
      </c>
      <c r="I180" s="33" t="str">
        <f>VLOOKUP(C180,Sheet1!C:D,2,0)</f>
        <v>Huzhou</v>
      </c>
      <c r="J180" s="52" t="s">
        <v>6</v>
      </c>
      <c r="K180" s="52" t="s">
        <v>35</v>
      </c>
      <c r="L180" s="52" t="s">
        <v>265</v>
      </c>
      <c r="M180" s="53"/>
      <c r="N180" s="53"/>
      <c r="O180" s="59"/>
    </row>
    <row r="181" spans="2:15" ht="13.9" x14ac:dyDescent="0.35">
      <c r="B181" s="63" t="s">
        <v>259</v>
      </c>
      <c r="C181" s="63" t="s">
        <v>260</v>
      </c>
      <c r="D181" s="50" t="s">
        <v>47</v>
      </c>
      <c r="E181" s="52" t="s">
        <v>48</v>
      </c>
      <c r="F181" s="53">
        <v>1</v>
      </c>
      <c r="G181" s="53">
        <v>2640</v>
      </c>
      <c r="H181" s="33" t="str">
        <f>VLOOKUP(B181,Sheet1!A:B,2,0)</f>
        <v>Zhejiang</v>
      </c>
      <c r="I181" s="33" t="str">
        <f>VLOOKUP(C181,Sheet1!C:D,2,0)</f>
        <v>Huzhou</v>
      </c>
      <c r="J181" s="50" t="s">
        <v>49</v>
      </c>
      <c r="K181" s="52" t="s">
        <v>50</v>
      </c>
      <c r="L181" s="52" t="s">
        <v>266</v>
      </c>
      <c r="M181" s="53"/>
      <c r="N181" s="53"/>
      <c r="O181" s="59"/>
    </row>
    <row r="182" spans="2:15" ht="13.9" x14ac:dyDescent="0.35">
      <c r="B182" s="63" t="s">
        <v>259</v>
      </c>
      <c r="C182" s="63" t="s">
        <v>267</v>
      </c>
      <c r="D182" s="52" t="s">
        <v>8</v>
      </c>
      <c r="E182" s="52" t="s">
        <v>34</v>
      </c>
      <c r="F182" s="53">
        <v>1</v>
      </c>
      <c r="G182" s="53">
        <v>1620</v>
      </c>
      <c r="H182" s="33" t="str">
        <f>VLOOKUP(B182,Sheet1!A:B,2,0)</f>
        <v>Zhejiang</v>
      </c>
      <c r="I182" s="33" t="str">
        <f>VLOOKUP(C182,Sheet1!C:D,2,0)</f>
        <v>Ningbo</v>
      </c>
      <c r="J182" s="52" t="s">
        <v>8</v>
      </c>
      <c r="K182" s="52" t="s">
        <v>35</v>
      </c>
      <c r="L182" s="52" t="s">
        <v>268</v>
      </c>
      <c r="M182" s="53"/>
      <c r="N182" s="53"/>
      <c r="O182" s="59"/>
    </row>
    <row r="183" spans="2:15" ht="13.9" x14ac:dyDescent="0.35">
      <c r="B183" s="63" t="s">
        <v>259</v>
      </c>
      <c r="C183" s="63" t="s">
        <v>267</v>
      </c>
      <c r="D183" s="52" t="s">
        <v>4</v>
      </c>
      <c r="E183" s="52" t="s">
        <v>34</v>
      </c>
      <c r="F183" s="53">
        <v>1</v>
      </c>
      <c r="G183" s="53">
        <v>624</v>
      </c>
      <c r="H183" s="33" t="str">
        <f>VLOOKUP(B183,Sheet1!A:B,2,0)</f>
        <v>Zhejiang</v>
      </c>
      <c r="I183" s="33" t="str">
        <f>VLOOKUP(C183,Sheet1!C:D,2,0)</f>
        <v>Ningbo</v>
      </c>
      <c r="J183" s="52" t="s">
        <v>4</v>
      </c>
      <c r="K183" s="52" t="s">
        <v>35</v>
      </c>
      <c r="L183" s="52" t="s">
        <v>269</v>
      </c>
      <c r="M183" s="53"/>
      <c r="N183" s="53"/>
      <c r="O183" s="59"/>
    </row>
    <row r="184" spans="2:15" ht="13.9" x14ac:dyDescent="0.35">
      <c r="B184" s="63" t="s">
        <v>259</v>
      </c>
      <c r="C184" s="63" t="s">
        <v>267</v>
      </c>
      <c r="D184" s="52" t="s">
        <v>5</v>
      </c>
      <c r="E184" s="52" t="s">
        <v>34</v>
      </c>
      <c r="F184" s="53">
        <v>1</v>
      </c>
      <c r="G184" s="53">
        <v>1260</v>
      </c>
      <c r="H184" s="33" t="str">
        <f>VLOOKUP(B184,Sheet1!A:B,2,0)</f>
        <v>Zhejiang</v>
      </c>
      <c r="I184" s="33" t="str">
        <f>VLOOKUP(C184,Sheet1!C:D,2,0)</f>
        <v>Ningbo</v>
      </c>
      <c r="J184" s="52" t="s">
        <v>5</v>
      </c>
      <c r="K184" s="52" t="s">
        <v>35</v>
      </c>
      <c r="L184" s="52" t="s">
        <v>270</v>
      </c>
      <c r="M184" s="53"/>
      <c r="N184" s="53"/>
      <c r="O184" s="59"/>
    </row>
    <row r="185" spans="2:15" ht="13.9" x14ac:dyDescent="0.35">
      <c r="B185" s="63" t="s">
        <v>259</v>
      </c>
      <c r="C185" s="63" t="s">
        <v>271</v>
      </c>
      <c r="D185" s="52" t="s">
        <v>10</v>
      </c>
      <c r="E185" s="52" t="s">
        <v>34</v>
      </c>
      <c r="F185" s="53">
        <v>1</v>
      </c>
      <c r="G185" s="53">
        <v>2460</v>
      </c>
      <c r="H185" s="33" t="str">
        <f>VLOOKUP(B185,Sheet1!A:B,2,0)</f>
        <v>Zhejiang</v>
      </c>
      <c r="I185" s="33" t="str">
        <f>VLOOKUP(C185,Sheet1!C:D,2,0)</f>
        <v>Pinghu</v>
      </c>
      <c r="J185" s="52" t="s">
        <v>10</v>
      </c>
      <c r="K185" s="52" t="s">
        <v>35</v>
      </c>
      <c r="L185" s="52" t="s">
        <v>272</v>
      </c>
      <c r="M185" s="53"/>
      <c r="N185" s="53"/>
      <c r="O185" s="59"/>
    </row>
    <row r="186" spans="2:15" ht="13.9" x14ac:dyDescent="0.35">
      <c r="B186" s="63" t="s">
        <v>259</v>
      </c>
      <c r="C186" s="63" t="s">
        <v>271</v>
      </c>
      <c r="D186" s="52" t="s">
        <v>4</v>
      </c>
      <c r="E186" s="52" t="s">
        <v>34</v>
      </c>
      <c r="F186" s="53">
        <v>1</v>
      </c>
      <c r="G186" s="53">
        <v>540</v>
      </c>
      <c r="H186" s="33" t="str">
        <f>VLOOKUP(B186,Sheet1!A:B,2,0)</f>
        <v>Zhejiang</v>
      </c>
      <c r="I186" s="33" t="str">
        <f>VLOOKUP(C186,Sheet1!C:D,2,0)</f>
        <v>Pinghu</v>
      </c>
      <c r="J186" s="52" t="s">
        <v>4</v>
      </c>
      <c r="K186" s="52" t="s">
        <v>35</v>
      </c>
      <c r="L186" s="52" t="s">
        <v>273</v>
      </c>
      <c r="M186" s="53"/>
      <c r="N186" s="53"/>
      <c r="O186" s="59"/>
    </row>
    <row r="187" spans="2:15" ht="13.9" x14ac:dyDescent="0.35">
      <c r="B187" s="63" t="s">
        <v>259</v>
      </c>
      <c r="C187" s="63" t="s">
        <v>271</v>
      </c>
      <c r="D187" s="52" t="s">
        <v>5</v>
      </c>
      <c r="E187" s="52" t="s">
        <v>34</v>
      </c>
      <c r="F187" s="53">
        <v>1</v>
      </c>
      <c r="G187" s="53">
        <v>780</v>
      </c>
      <c r="H187" s="33" t="str">
        <f>VLOOKUP(B187,Sheet1!A:B,2,0)</f>
        <v>Zhejiang</v>
      </c>
      <c r="I187" s="33" t="str">
        <f>VLOOKUP(C187,Sheet1!C:D,2,0)</f>
        <v>Pinghu</v>
      </c>
      <c r="J187" s="52" t="s">
        <v>5</v>
      </c>
      <c r="K187" s="52" t="s">
        <v>35</v>
      </c>
      <c r="L187" s="52" t="s">
        <v>274</v>
      </c>
      <c r="M187" s="53"/>
      <c r="N187" s="53"/>
      <c r="O187" s="59"/>
    </row>
    <row r="188" spans="2:15" ht="13.9" x14ac:dyDescent="0.35">
      <c r="B188" s="63" t="s">
        <v>259</v>
      </c>
      <c r="C188" s="63" t="s">
        <v>271</v>
      </c>
      <c r="D188" s="52" t="s">
        <v>6</v>
      </c>
      <c r="E188" s="52" t="s">
        <v>34</v>
      </c>
      <c r="F188" s="53">
        <v>1</v>
      </c>
      <c r="G188" s="53">
        <v>1500</v>
      </c>
      <c r="H188" s="33" t="str">
        <f>VLOOKUP(B188,Sheet1!A:B,2,0)</f>
        <v>Zhejiang</v>
      </c>
      <c r="I188" s="33" t="str">
        <f>VLOOKUP(C188,Sheet1!C:D,2,0)</f>
        <v>Pinghu</v>
      </c>
      <c r="J188" s="52" t="s">
        <v>6</v>
      </c>
      <c r="K188" s="52" t="s">
        <v>35</v>
      </c>
      <c r="L188" s="52" t="s">
        <v>275</v>
      </c>
      <c r="M188" s="53"/>
      <c r="N188" s="53"/>
      <c r="O188" s="59"/>
    </row>
    <row r="189" spans="2:15" ht="13.9" x14ac:dyDescent="0.35">
      <c r="B189" s="50" t="s">
        <v>32</v>
      </c>
      <c r="C189" s="51" t="s">
        <v>33</v>
      </c>
      <c r="D189" s="50" t="s">
        <v>258</v>
      </c>
      <c r="E189" s="52" t="s">
        <v>48</v>
      </c>
      <c r="F189" s="53">
        <v>2</v>
      </c>
      <c r="G189" s="53">
        <v>3300</v>
      </c>
      <c r="H189" s="33" t="str">
        <f>VLOOKUP(B189,Sheet1!A:B,2,0)</f>
        <v>Anhui</v>
      </c>
      <c r="I189" s="33" t="str">
        <f>VLOOKUP(C189,Sheet1!C:D,2,0)</f>
        <v>Chaohu</v>
      </c>
      <c r="J189" s="50" t="s">
        <v>258</v>
      </c>
      <c r="K189" s="52" t="s">
        <v>50</v>
      </c>
      <c r="L189" s="52" t="s">
        <v>276</v>
      </c>
      <c r="M189" s="53"/>
      <c r="N189" s="53"/>
      <c r="O189" s="59"/>
    </row>
    <row r="190" spans="2:15" ht="13.9" x14ac:dyDescent="0.35">
      <c r="B190" s="50" t="s">
        <v>32</v>
      </c>
      <c r="C190" s="51" t="s">
        <v>52</v>
      </c>
      <c r="D190" s="50" t="s">
        <v>258</v>
      </c>
      <c r="E190" s="52" t="s">
        <v>48</v>
      </c>
      <c r="F190" s="53">
        <v>2</v>
      </c>
      <c r="G190" s="53">
        <v>3300</v>
      </c>
      <c r="H190" s="33" t="str">
        <f>VLOOKUP(B190,Sheet1!A:B,2,0)</f>
        <v>Anhui</v>
      </c>
      <c r="I190" s="33" t="str">
        <f>VLOOKUP(C190,Sheet1!C:D,2,0)</f>
        <v>Tianchang</v>
      </c>
      <c r="J190" s="50" t="s">
        <v>258</v>
      </c>
      <c r="K190" s="52" t="s">
        <v>50</v>
      </c>
      <c r="L190" s="52" t="s">
        <v>277</v>
      </c>
      <c r="M190" s="53"/>
      <c r="N190" s="53"/>
      <c r="O190" s="59"/>
    </row>
    <row r="191" spans="2:15" ht="13.9" x14ac:dyDescent="0.35">
      <c r="B191" s="63" t="s">
        <v>255</v>
      </c>
      <c r="C191" s="63" t="s">
        <v>256</v>
      </c>
      <c r="D191" s="52" t="s">
        <v>8</v>
      </c>
      <c r="E191" s="52" t="s">
        <v>34</v>
      </c>
      <c r="F191" s="53">
        <v>3</v>
      </c>
      <c r="G191" s="53">
        <v>6600</v>
      </c>
      <c r="H191" s="33" t="s">
        <v>257</v>
      </c>
      <c r="I191" s="33" t="str">
        <f>VLOOKUP(C191,Sheet1!C:D,2,0)</f>
        <v>Ankang</v>
      </c>
      <c r="J191" s="52" t="s">
        <v>8</v>
      </c>
      <c r="K191" s="52" t="s">
        <v>35</v>
      </c>
      <c r="L191" s="52" t="str">
        <f>H191&amp;I191&amp;J191&amp;K191</f>
        <v>ShanxiAnkang12TDRY</v>
      </c>
      <c r="M191" s="53"/>
      <c r="N191" s="53"/>
      <c r="O191" s="59"/>
    </row>
    <row r="192" spans="2:15" ht="13.9" x14ac:dyDescent="0.35">
      <c r="B192" s="50" t="s">
        <v>191</v>
      </c>
      <c r="C192" s="51" t="s">
        <v>192</v>
      </c>
      <c r="D192" s="52" t="s">
        <v>5</v>
      </c>
      <c r="E192" s="52" t="s">
        <v>34</v>
      </c>
      <c r="F192" s="53">
        <v>1</v>
      </c>
      <c r="G192" s="53">
        <v>1680</v>
      </c>
      <c r="H192" s="33" t="str">
        <f>VLOOKUP(B192,Sheet1!A:B,2,0)</f>
        <v>Jiangsu</v>
      </c>
      <c r="I192" s="33" t="str">
        <f>VLOOKUP(C192,Sheet1!C:D,2,0)</f>
        <v>Changzhou</v>
      </c>
      <c r="J192" s="52" t="s">
        <v>5</v>
      </c>
      <c r="K192" s="52" t="s">
        <v>35</v>
      </c>
      <c r="L192" s="52" t="s">
        <v>278</v>
      </c>
      <c r="M192" s="53"/>
      <c r="N192" s="53"/>
      <c r="O192" s="59"/>
    </row>
    <row r="193" spans="2:15" ht="13.9" x14ac:dyDescent="0.35">
      <c r="B193" s="50" t="s">
        <v>191</v>
      </c>
      <c r="C193" s="51" t="s">
        <v>192</v>
      </c>
      <c r="D193" s="52" t="s">
        <v>6</v>
      </c>
      <c r="E193" s="52" t="s">
        <v>34</v>
      </c>
      <c r="F193" s="53">
        <v>1</v>
      </c>
      <c r="G193" s="53">
        <v>1680</v>
      </c>
      <c r="H193" s="33" t="str">
        <f>VLOOKUP(B193,Sheet1!A:B,2,0)</f>
        <v>Jiangsu</v>
      </c>
      <c r="I193" s="33" t="str">
        <f>VLOOKUP(C193,Sheet1!C:D,2,0)</f>
        <v>Changzhou</v>
      </c>
      <c r="J193" s="52" t="s">
        <v>6</v>
      </c>
      <c r="K193" s="52" t="s">
        <v>35</v>
      </c>
      <c r="L193" s="52" t="s">
        <v>279</v>
      </c>
      <c r="M193" s="53"/>
      <c r="N193" s="53"/>
      <c r="O193" s="59"/>
    </row>
    <row r="194" spans="2:15" ht="13.9" x14ac:dyDescent="0.35">
      <c r="B194" s="50" t="s">
        <v>191</v>
      </c>
      <c r="C194" s="51" t="s">
        <v>192</v>
      </c>
      <c r="D194" s="52" t="s">
        <v>7</v>
      </c>
      <c r="E194" s="52" t="s">
        <v>34</v>
      </c>
      <c r="F194" s="53">
        <v>1</v>
      </c>
      <c r="G194" s="53">
        <v>1860</v>
      </c>
      <c r="H194" s="33" t="str">
        <f>VLOOKUP(B194,Sheet1!A:B,2,0)</f>
        <v>Jiangsu</v>
      </c>
      <c r="I194" s="33" t="str">
        <f>VLOOKUP(C194,Sheet1!C:D,2,0)</f>
        <v>Changzhou</v>
      </c>
      <c r="J194" s="52" t="s">
        <v>7</v>
      </c>
      <c r="K194" s="52" t="s">
        <v>35</v>
      </c>
      <c r="L194" s="52" t="s">
        <v>280</v>
      </c>
      <c r="M194" s="53"/>
      <c r="N194" s="53"/>
      <c r="O194" s="59"/>
    </row>
    <row r="195" spans="2:15" ht="13.9" x14ac:dyDescent="0.35">
      <c r="B195" s="50" t="s">
        <v>191</v>
      </c>
      <c r="C195" s="51" t="s">
        <v>192</v>
      </c>
      <c r="D195" s="52" t="s">
        <v>8</v>
      </c>
      <c r="E195" s="52" t="s">
        <v>34</v>
      </c>
      <c r="F195" s="53">
        <v>1</v>
      </c>
      <c r="G195" s="53">
        <v>1860</v>
      </c>
      <c r="H195" s="33" t="str">
        <f>VLOOKUP(B195,Sheet1!A:B,2,0)</f>
        <v>Jiangsu</v>
      </c>
      <c r="I195" s="33" t="str">
        <f>VLOOKUP(C195,Sheet1!C:D,2,0)</f>
        <v>Changzhou</v>
      </c>
      <c r="J195" s="52" t="s">
        <v>8</v>
      </c>
      <c r="K195" s="52" t="s">
        <v>35</v>
      </c>
      <c r="L195" s="52" t="s">
        <v>281</v>
      </c>
      <c r="M195" s="53"/>
      <c r="N195" s="53"/>
      <c r="O195" s="59"/>
    </row>
    <row r="196" spans="2:15" ht="13.9" x14ac:dyDescent="0.35">
      <c r="B196" s="50" t="s">
        <v>191</v>
      </c>
      <c r="C196" s="51" t="s">
        <v>192</v>
      </c>
      <c r="D196" s="52" t="s">
        <v>9</v>
      </c>
      <c r="E196" s="52" t="s">
        <v>34</v>
      </c>
      <c r="F196" s="53">
        <v>1</v>
      </c>
      <c r="G196" s="53">
        <v>2820</v>
      </c>
      <c r="H196" s="33" t="str">
        <f>VLOOKUP(B196,Sheet1!A:B,2,0)</f>
        <v>Jiangsu</v>
      </c>
      <c r="I196" s="33" t="str">
        <f>VLOOKUP(C196,Sheet1!C:D,2,0)</f>
        <v>Changzhou</v>
      </c>
      <c r="J196" s="52" t="s">
        <v>9</v>
      </c>
      <c r="K196" s="52" t="s">
        <v>35</v>
      </c>
      <c r="L196" s="52" t="s">
        <v>282</v>
      </c>
      <c r="M196" s="53"/>
      <c r="N196" s="53"/>
      <c r="O196" s="59"/>
    </row>
    <row r="197" spans="2:15" ht="13.9" x14ac:dyDescent="0.35">
      <c r="B197" s="50" t="s">
        <v>191</v>
      </c>
      <c r="C197" s="51" t="s">
        <v>192</v>
      </c>
      <c r="D197" s="52" t="s">
        <v>10</v>
      </c>
      <c r="E197" s="52" t="s">
        <v>34</v>
      </c>
      <c r="F197" s="53">
        <v>1</v>
      </c>
      <c r="G197" s="53">
        <v>3060</v>
      </c>
      <c r="H197" s="33" t="str">
        <f>VLOOKUP(B197,Sheet1!A:B,2,0)</f>
        <v>Jiangsu</v>
      </c>
      <c r="I197" s="33" t="str">
        <f>VLOOKUP(C197,Sheet1!C:D,2,0)</f>
        <v>Changzhou</v>
      </c>
      <c r="J197" s="52" t="s">
        <v>10</v>
      </c>
      <c r="K197" s="52" t="s">
        <v>35</v>
      </c>
      <c r="L197" s="52" t="s">
        <v>283</v>
      </c>
      <c r="M197" s="53"/>
      <c r="N197" s="53"/>
      <c r="O197" s="59"/>
    </row>
    <row r="198" spans="2:15" ht="13.9" x14ac:dyDescent="0.35">
      <c r="B198" s="50" t="s">
        <v>191</v>
      </c>
      <c r="C198" s="51" t="s">
        <v>192</v>
      </c>
      <c r="D198" s="52" t="s">
        <v>11</v>
      </c>
      <c r="E198" s="52" t="s">
        <v>34</v>
      </c>
      <c r="F198" s="53">
        <v>1</v>
      </c>
      <c r="G198" s="53">
        <v>3300</v>
      </c>
      <c r="H198" s="33" t="str">
        <f>VLOOKUP(B198,Sheet1!A:B,2,0)</f>
        <v>Jiangsu</v>
      </c>
      <c r="I198" s="33" t="str">
        <f>VLOOKUP(C198,Sheet1!C:D,2,0)</f>
        <v>Changzhou</v>
      </c>
      <c r="J198" s="52" t="s">
        <v>11</v>
      </c>
      <c r="K198" s="52" t="s">
        <v>35</v>
      </c>
      <c r="L198" s="52" t="s">
        <v>284</v>
      </c>
      <c r="M198" s="53"/>
      <c r="N198" s="53"/>
      <c r="O198" s="59"/>
    </row>
    <row r="199" spans="2:15" ht="13.9" x14ac:dyDescent="0.35">
      <c r="B199" s="50" t="s">
        <v>191</v>
      </c>
      <c r="C199" s="51" t="s">
        <v>192</v>
      </c>
      <c r="D199" s="50" t="s">
        <v>258</v>
      </c>
      <c r="E199" s="52" t="s">
        <v>48</v>
      </c>
      <c r="F199" s="53">
        <v>1</v>
      </c>
      <c r="G199" s="53">
        <v>2220</v>
      </c>
      <c r="H199" s="33" t="str">
        <f>VLOOKUP(B199,Sheet1!A:B,2,0)</f>
        <v>Jiangsu</v>
      </c>
      <c r="I199" s="33" t="str">
        <f>VLOOKUP(C199,Sheet1!C:D,2,0)</f>
        <v>Changzhou</v>
      </c>
      <c r="J199" s="50" t="s">
        <v>258</v>
      </c>
      <c r="K199" s="52" t="s">
        <v>50</v>
      </c>
      <c r="L199" s="52" t="s">
        <v>285</v>
      </c>
      <c r="M199" s="53"/>
      <c r="N199" s="53"/>
      <c r="O199" s="59"/>
    </row>
    <row r="200" spans="2:15" ht="13.9" x14ac:dyDescent="0.35">
      <c r="B200" s="50" t="s">
        <v>191</v>
      </c>
      <c r="C200" s="51" t="s">
        <v>192</v>
      </c>
      <c r="D200" s="50" t="s">
        <v>47</v>
      </c>
      <c r="E200" s="52" t="s">
        <v>48</v>
      </c>
      <c r="F200" s="53">
        <v>1</v>
      </c>
      <c r="G200" s="53">
        <v>3300</v>
      </c>
      <c r="H200" s="33" t="str">
        <f>VLOOKUP(B200,Sheet1!A:B,2,0)</f>
        <v>Jiangsu</v>
      </c>
      <c r="I200" s="33" t="str">
        <f>VLOOKUP(C200,Sheet1!C:D,2,0)</f>
        <v>Changzhou</v>
      </c>
      <c r="J200" s="50" t="s">
        <v>49</v>
      </c>
      <c r="K200" s="52" t="s">
        <v>50</v>
      </c>
      <c r="L200" s="52" t="s">
        <v>286</v>
      </c>
      <c r="M200" s="53"/>
      <c r="N200" s="53"/>
      <c r="O200" s="59"/>
    </row>
    <row r="201" spans="2:15" ht="13.9" x14ac:dyDescent="0.35">
      <c r="B201" s="50" t="s">
        <v>32</v>
      </c>
      <c r="C201" s="51" t="s">
        <v>33</v>
      </c>
      <c r="D201" s="50" t="s">
        <v>10</v>
      </c>
      <c r="E201" s="52" t="s">
        <v>34</v>
      </c>
      <c r="F201" s="53">
        <v>2</v>
      </c>
      <c r="G201" s="53">
        <v>4896</v>
      </c>
      <c r="H201" s="33" t="str">
        <f>VLOOKUP(B201,Sheet1!A:B,2,0)</f>
        <v>Anhui</v>
      </c>
      <c r="I201" s="33" t="str">
        <f>VLOOKUP(C201,Sheet1!C:D,2,0)</f>
        <v>Chaohu</v>
      </c>
      <c r="J201" s="50" t="s">
        <v>10</v>
      </c>
      <c r="K201" s="52" t="s">
        <v>35</v>
      </c>
      <c r="L201" s="52" t="s">
        <v>287</v>
      </c>
      <c r="M201" s="53"/>
      <c r="N201" s="53"/>
      <c r="O201" s="59"/>
    </row>
    <row r="202" spans="2:15" ht="13.9" x14ac:dyDescent="0.35">
      <c r="B202" s="50" t="s">
        <v>180</v>
      </c>
      <c r="C202" s="51" t="s">
        <v>181</v>
      </c>
      <c r="D202" s="50" t="s">
        <v>258</v>
      </c>
      <c r="E202" s="52" t="s">
        <v>48</v>
      </c>
      <c r="F202" s="53">
        <v>2</v>
      </c>
      <c r="G202" s="53">
        <v>5400</v>
      </c>
      <c r="H202" s="33" t="str">
        <f>VLOOKUP(B202,Sheet1!A:B,2,0)</f>
        <v>Hunan</v>
      </c>
      <c r="I202" s="33" t="str">
        <f>VLOOKUP(C202,Sheet1!C:D,2,0)</f>
        <v>Chenzhou</v>
      </c>
      <c r="J202" s="50" t="s">
        <v>258</v>
      </c>
      <c r="K202" s="52" t="s">
        <v>50</v>
      </c>
      <c r="L202" s="52" t="s">
        <v>288</v>
      </c>
      <c r="M202" s="53"/>
      <c r="N202" s="53"/>
      <c r="O202" s="59"/>
    </row>
    <row r="203" spans="2:15" ht="13.9" x14ac:dyDescent="0.35">
      <c r="B203" s="50" t="s">
        <v>180</v>
      </c>
      <c r="C203" s="51" t="s">
        <v>181</v>
      </c>
      <c r="D203" s="52" t="s">
        <v>4</v>
      </c>
      <c r="E203" s="52" t="s">
        <v>34</v>
      </c>
      <c r="F203" s="53">
        <v>2</v>
      </c>
      <c r="G203" s="53">
        <v>3120</v>
      </c>
      <c r="H203" s="33" t="str">
        <f>VLOOKUP(B203,Sheet1!A:B,2,0)</f>
        <v>Hunan</v>
      </c>
      <c r="I203" s="33" t="str">
        <f>VLOOKUP(C203,Sheet1!C:D,2,0)</f>
        <v>Chenzhou</v>
      </c>
      <c r="J203" s="52" t="s">
        <v>4</v>
      </c>
      <c r="K203" s="52" t="s">
        <v>35</v>
      </c>
      <c r="L203" s="52" t="s">
        <v>289</v>
      </c>
      <c r="M203" s="53"/>
      <c r="N203" s="53"/>
      <c r="O203" s="59"/>
    </row>
    <row r="204" spans="2:15" ht="13.9" x14ac:dyDescent="0.35">
      <c r="B204" s="50" t="s">
        <v>180</v>
      </c>
      <c r="C204" s="64" t="s">
        <v>290</v>
      </c>
      <c r="D204" s="52" t="s">
        <v>5</v>
      </c>
      <c r="E204" s="52" t="s">
        <v>34</v>
      </c>
      <c r="F204" s="53">
        <v>2</v>
      </c>
      <c r="G204" s="53">
        <v>3840</v>
      </c>
      <c r="H204" s="33" t="str">
        <f>VLOOKUP(B204,Sheet1!A:B,2,0)</f>
        <v>Hunan</v>
      </c>
      <c r="I204" s="33" t="str">
        <f>VLOOKUP(C204,Sheet1!C:D,2,0)</f>
        <v>Chenzhou</v>
      </c>
      <c r="J204" s="52" t="s">
        <v>5</v>
      </c>
      <c r="K204" s="52" t="s">
        <v>35</v>
      </c>
      <c r="L204" s="52" t="s">
        <v>291</v>
      </c>
      <c r="M204" s="53"/>
      <c r="N204" s="53"/>
      <c r="O204" s="59"/>
    </row>
    <row r="205" spans="2:15" ht="13.9" x14ac:dyDescent="0.35">
      <c r="B205" s="50" t="s">
        <v>180</v>
      </c>
      <c r="C205" s="51" t="s">
        <v>181</v>
      </c>
      <c r="D205" s="52" t="s">
        <v>10</v>
      </c>
      <c r="E205" s="52" t="s">
        <v>34</v>
      </c>
      <c r="F205" s="53">
        <v>2</v>
      </c>
      <c r="G205" s="53">
        <v>8400</v>
      </c>
      <c r="H205" s="33" t="str">
        <f>VLOOKUP(B205,Sheet1!A:B,2,0)</f>
        <v>Hunan</v>
      </c>
      <c r="I205" s="33" t="str">
        <f>VLOOKUP(C205,Sheet1!C:D,2,0)</f>
        <v>Chenzhou</v>
      </c>
      <c r="J205" s="52" t="s">
        <v>10</v>
      </c>
      <c r="K205" s="52" t="s">
        <v>35</v>
      </c>
      <c r="L205" s="52" t="s">
        <v>292</v>
      </c>
      <c r="M205" s="53"/>
      <c r="N205" s="53"/>
      <c r="O205" s="59"/>
    </row>
    <row r="206" spans="2:15" ht="13.9" x14ac:dyDescent="0.35">
      <c r="B206" s="50" t="s">
        <v>80</v>
      </c>
      <c r="C206" s="51" t="s">
        <v>81</v>
      </c>
      <c r="D206" s="50" t="s">
        <v>258</v>
      </c>
      <c r="E206" s="52" t="s">
        <v>48</v>
      </c>
      <c r="F206" s="53">
        <v>3</v>
      </c>
      <c r="G206" s="53">
        <v>5640</v>
      </c>
      <c r="H206" s="33" t="str">
        <f>VLOOKUP(B206,Sheet1!A:B,2,0)</f>
        <v>Guangdong</v>
      </c>
      <c r="I206" s="33" t="str">
        <f>VLOOKUP(C206,Sheet1!C:D,2,0)</f>
        <v>Dongguan</v>
      </c>
      <c r="J206" s="50" t="s">
        <v>258</v>
      </c>
      <c r="K206" s="52" t="s">
        <v>50</v>
      </c>
      <c r="L206" s="52" t="s">
        <v>293</v>
      </c>
      <c r="M206" s="53"/>
      <c r="N206" s="53"/>
      <c r="O206" s="59"/>
    </row>
    <row r="207" spans="2:15" ht="13.9" x14ac:dyDescent="0.35">
      <c r="B207" s="50" t="s">
        <v>80</v>
      </c>
      <c r="C207" s="51" t="s">
        <v>101</v>
      </c>
      <c r="D207" s="50" t="s">
        <v>6</v>
      </c>
      <c r="E207" s="52" t="s">
        <v>34</v>
      </c>
      <c r="F207" s="53">
        <v>3</v>
      </c>
      <c r="G207" s="53">
        <v>5520</v>
      </c>
      <c r="H207" s="33" t="str">
        <f>VLOOKUP(B207,Sheet1!A:B,2,0)</f>
        <v>Guangdong</v>
      </c>
      <c r="I207" s="33" t="str">
        <f>VLOOKUP(C207,Sheet1!C:D,2,0)</f>
        <v>Foshan</v>
      </c>
      <c r="J207" s="50" t="s">
        <v>6</v>
      </c>
      <c r="K207" s="52" t="s">
        <v>35</v>
      </c>
      <c r="L207" s="52" t="s">
        <v>294</v>
      </c>
      <c r="M207" s="53"/>
      <c r="N207" s="53"/>
      <c r="O207" s="59"/>
    </row>
    <row r="208" spans="2:15" ht="13.9" x14ac:dyDescent="0.35">
      <c r="B208" s="50" t="s">
        <v>80</v>
      </c>
      <c r="C208" s="51" t="s">
        <v>101</v>
      </c>
      <c r="D208" s="52" t="s">
        <v>7</v>
      </c>
      <c r="E208" s="52" t="s">
        <v>34</v>
      </c>
      <c r="F208" s="53">
        <v>3</v>
      </c>
      <c r="G208" s="53">
        <v>5640</v>
      </c>
      <c r="H208" s="33" t="str">
        <f>VLOOKUP(B208,Sheet1!A:B,2,0)</f>
        <v>Guangdong</v>
      </c>
      <c r="I208" s="33" t="str">
        <f>VLOOKUP(C208,Sheet1!C:D,2,0)</f>
        <v>Foshan</v>
      </c>
      <c r="J208" s="52" t="s">
        <v>7</v>
      </c>
      <c r="K208" s="52" t="s">
        <v>35</v>
      </c>
      <c r="L208" s="52" t="s">
        <v>295</v>
      </c>
      <c r="M208" s="53"/>
      <c r="N208" s="53"/>
      <c r="O208" s="59"/>
    </row>
    <row r="209" spans="2:15" ht="13.9" x14ac:dyDescent="0.35">
      <c r="B209" s="50" t="s">
        <v>80</v>
      </c>
      <c r="C209" s="51" t="s">
        <v>101</v>
      </c>
      <c r="D209" s="50" t="s">
        <v>8</v>
      </c>
      <c r="E209" s="52" t="s">
        <v>34</v>
      </c>
      <c r="F209" s="53">
        <v>3</v>
      </c>
      <c r="G209" s="53">
        <v>5640</v>
      </c>
      <c r="H209" s="33" t="str">
        <f>VLOOKUP(B209,Sheet1!A:B,2,0)</f>
        <v>Guangdong</v>
      </c>
      <c r="I209" s="33" t="str">
        <f>VLOOKUP(C209,Sheet1!C:D,2,0)</f>
        <v>Foshan</v>
      </c>
      <c r="J209" s="50" t="s">
        <v>8</v>
      </c>
      <c r="K209" s="52" t="s">
        <v>35</v>
      </c>
      <c r="L209" s="52" t="s">
        <v>296</v>
      </c>
      <c r="M209" s="53"/>
      <c r="N209" s="53"/>
      <c r="O209" s="59"/>
    </row>
    <row r="210" spans="2:15" ht="13.9" x14ac:dyDescent="0.35">
      <c r="B210" s="50" t="s">
        <v>80</v>
      </c>
      <c r="C210" s="51" t="s">
        <v>101</v>
      </c>
      <c r="D210" s="52" t="s">
        <v>9</v>
      </c>
      <c r="E210" s="52" t="s">
        <v>34</v>
      </c>
      <c r="F210" s="53">
        <v>3</v>
      </c>
      <c r="G210" s="53">
        <v>7440</v>
      </c>
      <c r="H210" s="33" t="str">
        <f>VLOOKUP(B210,Sheet1!A:B,2,0)</f>
        <v>Guangdong</v>
      </c>
      <c r="I210" s="33" t="str">
        <f>VLOOKUP(C210,Sheet1!C:D,2,0)</f>
        <v>Foshan</v>
      </c>
      <c r="J210" s="52" t="s">
        <v>9</v>
      </c>
      <c r="K210" s="52" t="s">
        <v>35</v>
      </c>
      <c r="L210" s="52" t="s">
        <v>297</v>
      </c>
      <c r="M210" s="53"/>
      <c r="N210" s="53"/>
      <c r="O210" s="59"/>
    </row>
    <row r="211" spans="2:15" ht="13.9" x14ac:dyDescent="0.35">
      <c r="B211" s="50" t="s">
        <v>80</v>
      </c>
      <c r="C211" s="51" t="s">
        <v>101</v>
      </c>
      <c r="D211" s="50" t="s">
        <v>10</v>
      </c>
      <c r="E211" s="52" t="s">
        <v>34</v>
      </c>
      <c r="F211" s="53">
        <v>3</v>
      </c>
      <c r="G211" s="53">
        <v>8400</v>
      </c>
      <c r="H211" s="33" t="str">
        <f>VLOOKUP(B211,Sheet1!A:B,2,0)</f>
        <v>Guangdong</v>
      </c>
      <c r="I211" s="33" t="str">
        <f>VLOOKUP(C211,Sheet1!C:D,2,0)</f>
        <v>Foshan</v>
      </c>
      <c r="J211" s="50" t="s">
        <v>10</v>
      </c>
      <c r="K211" s="52" t="s">
        <v>35</v>
      </c>
      <c r="L211" s="52" t="s">
        <v>298</v>
      </c>
      <c r="M211" s="53"/>
      <c r="N211" s="53"/>
      <c r="O211" s="59"/>
    </row>
    <row r="212" spans="2:15" ht="13.9" x14ac:dyDescent="0.35">
      <c r="B212" s="50" t="s">
        <v>80</v>
      </c>
      <c r="C212" s="51" t="s">
        <v>101</v>
      </c>
      <c r="D212" s="52" t="s">
        <v>11</v>
      </c>
      <c r="E212" s="52" t="s">
        <v>34</v>
      </c>
      <c r="F212" s="53">
        <v>3</v>
      </c>
      <c r="G212" s="53">
        <v>8400</v>
      </c>
      <c r="H212" s="33" t="str">
        <f>VLOOKUP(B212,Sheet1!A:B,2,0)</f>
        <v>Guangdong</v>
      </c>
      <c r="I212" s="33" t="str">
        <f>VLOOKUP(C212,Sheet1!C:D,2,0)</f>
        <v>Foshan</v>
      </c>
      <c r="J212" s="52" t="s">
        <v>11</v>
      </c>
      <c r="K212" s="52" t="s">
        <v>35</v>
      </c>
      <c r="L212" s="52" t="s">
        <v>299</v>
      </c>
      <c r="M212" s="53"/>
      <c r="N212" s="53"/>
      <c r="O212" s="59"/>
    </row>
    <row r="213" spans="2:15" ht="13.9" x14ac:dyDescent="0.35">
      <c r="B213" s="50" t="s">
        <v>80</v>
      </c>
      <c r="C213" s="51" t="s">
        <v>101</v>
      </c>
      <c r="D213" s="50" t="s">
        <v>258</v>
      </c>
      <c r="E213" s="52" t="s">
        <v>48</v>
      </c>
      <c r="F213" s="53">
        <v>3</v>
      </c>
      <c r="G213" s="53">
        <v>5760</v>
      </c>
      <c r="H213" s="33" t="str">
        <f>VLOOKUP(B213,Sheet1!A:B,2,0)</f>
        <v>Guangdong</v>
      </c>
      <c r="I213" s="33" t="str">
        <f>VLOOKUP(C213,Sheet1!C:D,2,0)</f>
        <v>Foshan</v>
      </c>
      <c r="J213" s="50" t="s">
        <v>258</v>
      </c>
      <c r="K213" s="52" t="s">
        <v>50</v>
      </c>
      <c r="L213" s="52" t="s">
        <v>300</v>
      </c>
      <c r="M213" s="53"/>
      <c r="N213" s="53"/>
      <c r="O213" s="59"/>
    </row>
    <row r="214" spans="2:15" ht="13.9" x14ac:dyDescent="0.35">
      <c r="B214" s="50" t="s">
        <v>80</v>
      </c>
      <c r="C214" s="51" t="s">
        <v>101</v>
      </c>
      <c r="D214" s="50" t="s">
        <v>47</v>
      </c>
      <c r="E214" s="52" t="s">
        <v>48</v>
      </c>
      <c r="F214" s="53">
        <v>3</v>
      </c>
      <c r="G214" s="53">
        <v>8400</v>
      </c>
      <c r="H214" s="33" t="str">
        <f>VLOOKUP(B214,Sheet1!A:B,2,0)</f>
        <v>Guangdong</v>
      </c>
      <c r="I214" s="33" t="str">
        <f>VLOOKUP(C214,Sheet1!C:D,2,0)</f>
        <v>Foshan</v>
      </c>
      <c r="J214" s="50" t="s">
        <v>49</v>
      </c>
      <c r="K214" s="52" t="s">
        <v>50</v>
      </c>
      <c r="L214" s="52" t="s">
        <v>301</v>
      </c>
      <c r="M214" s="53"/>
      <c r="N214" s="53"/>
      <c r="O214" s="59"/>
    </row>
    <row r="215" spans="2:15" ht="13.9" x14ac:dyDescent="0.35">
      <c r="B215" s="63" t="s">
        <v>216</v>
      </c>
      <c r="C215" s="63" t="s">
        <v>217</v>
      </c>
      <c r="D215" s="50" t="s">
        <v>258</v>
      </c>
      <c r="E215" s="52" t="s">
        <v>48</v>
      </c>
      <c r="F215" s="53">
        <v>3</v>
      </c>
      <c r="G215" s="53">
        <v>4752</v>
      </c>
      <c r="H215" s="33" t="str">
        <f>VLOOKUP(B215,Sheet1!A:B,2,0)</f>
        <v>Jiangxi</v>
      </c>
      <c r="I215" s="33" t="str">
        <f>VLOOKUP(C215,Sheet1!C:D,2,0)</f>
        <v>Ganzhou</v>
      </c>
      <c r="J215" s="50" t="s">
        <v>258</v>
      </c>
      <c r="K215" s="52" t="s">
        <v>50</v>
      </c>
      <c r="L215" s="52" t="s">
        <v>302</v>
      </c>
      <c r="M215" s="53"/>
      <c r="N215" s="53"/>
      <c r="O215" s="59"/>
    </row>
    <row r="216" spans="2:15" ht="13.9" x14ac:dyDescent="0.35">
      <c r="B216" s="63" t="s">
        <v>216</v>
      </c>
      <c r="C216" s="63" t="s">
        <v>217</v>
      </c>
      <c r="D216" s="52" t="s">
        <v>5</v>
      </c>
      <c r="E216" s="52" t="s">
        <v>34</v>
      </c>
      <c r="F216" s="53">
        <v>3</v>
      </c>
      <c r="G216" s="53">
        <v>3480</v>
      </c>
      <c r="H216" s="33" t="str">
        <f>VLOOKUP(B216,Sheet1!A:B,2,0)</f>
        <v>Jiangxi</v>
      </c>
      <c r="I216" s="33" t="str">
        <f>VLOOKUP(C216,Sheet1!C:D,2,0)</f>
        <v>Ganzhou</v>
      </c>
      <c r="J216" s="52" t="s">
        <v>5</v>
      </c>
      <c r="K216" s="52" t="s">
        <v>35</v>
      </c>
      <c r="L216" s="52" t="s">
        <v>303</v>
      </c>
      <c r="M216" s="53"/>
      <c r="N216" s="53"/>
      <c r="O216" s="59"/>
    </row>
    <row r="217" spans="2:15" ht="13.9" x14ac:dyDescent="0.35">
      <c r="B217" s="50" t="s">
        <v>154</v>
      </c>
      <c r="C217" s="51" t="s">
        <v>155</v>
      </c>
      <c r="D217" s="62" t="s">
        <v>4</v>
      </c>
      <c r="E217" s="52" t="s">
        <v>34</v>
      </c>
      <c r="F217" s="53">
        <v>4</v>
      </c>
      <c r="G217" s="53">
        <v>4752</v>
      </c>
      <c r="H217" s="33" t="str">
        <f>VLOOKUP(B217,Sheet1!A:B,2,0)</f>
        <v>Guangxi</v>
      </c>
      <c r="I217" s="33" t="str">
        <f>VLOOKUP(C217,Sheet1!C:D,2,0)</f>
        <v>Hechi</v>
      </c>
      <c r="J217" s="62" t="s">
        <v>4</v>
      </c>
      <c r="K217" s="52" t="s">
        <v>35</v>
      </c>
      <c r="L217" s="52" t="s">
        <v>304</v>
      </c>
      <c r="M217" s="53"/>
      <c r="N217" s="53"/>
      <c r="O217" s="59"/>
    </row>
    <row r="218" spans="2:15" ht="13.9" x14ac:dyDescent="0.35">
      <c r="B218" s="50" t="s">
        <v>154</v>
      </c>
      <c r="C218" s="51" t="s">
        <v>155</v>
      </c>
      <c r="D218" s="62" t="s">
        <v>6</v>
      </c>
      <c r="E218" s="52" t="s">
        <v>34</v>
      </c>
      <c r="F218" s="53">
        <v>4</v>
      </c>
      <c r="G218" s="53">
        <v>7800</v>
      </c>
      <c r="H218" s="33" t="str">
        <f>VLOOKUP(B218,Sheet1!A:B,2,0)</f>
        <v>Guangxi</v>
      </c>
      <c r="I218" s="33" t="str">
        <f>VLOOKUP(C218,Sheet1!C:D,2,0)</f>
        <v>Hechi</v>
      </c>
      <c r="J218" s="62" t="s">
        <v>6</v>
      </c>
      <c r="K218" s="52" t="s">
        <v>35</v>
      </c>
      <c r="L218" s="52" t="s">
        <v>305</v>
      </c>
      <c r="M218" s="53"/>
      <c r="N218" s="53"/>
      <c r="O218" s="59"/>
    </row>
    <row r="219" spans="2:15" ht="13.9" x14ac:dyDescent="0.35">
      <c r="B219" s="50" t="s">
        <v>154</v>
      </c>
      <c r="C219" s="51" t="s">
        <v>155</v>
      </c>
      <c r="D219" s="62" t="s">
        <v>7</v>
      </c>
      <c r="E219" s="52" t="s">
        <v>34</v>
      </c>
      <c r="F219" s="53">
        <v>4</v>
      </c>
      <c r="G219" s="53">
        <v>7200</v>
      </c>
      <c r="H219" s="33" t="str">
        <f>VLOOKUP(B219,Sheet1!A:B,2,0)</f>
        <v>Guangxi</v>
      </c>
      <c r="I219" s="33" t="str">
        <f>VLOOKUP(C219,Sheet1!C:D,2,0)</f>
        <v>Hechi</v>
      </c>
      <c r="J219" s="62" t="s">
        <v>7</v>
      </c>
      <c r="K219" s="52" t="s">
        <v>35</v>
      </c>
      <c r="L219" s="52" t="s">
        <v>306</v>
      </c>
      <c r="M219" s="53"/>
      <c r="N219" s="53"/>
      <c r="O219" s="59"/>
    </row>
    <row r="220" spans="2:15" ht="13.9" x14ac:dyDescent="0.35">
      <c r="B220" s="50" t="s">
        <v>154</v>
      </c>
      <c r="C220" s="51" t="s">
        <v>155</v>
      </c>
      <c r="D220" s="62" t="s">
        <v>8</v>
      </c>
      <c r="E220" s="52" t="s">
        <v>34</v>
      </c>
      <c r="F220" s="53">
        <v>4</v>
      </c>
      <c r="G220" s="53">
        <v>7200</v>
      </c>
      <c r="H220" s="33" t="str">
        <f>VLOOKUP(B220,Sheet1!A:B,2,0)</f>
        <v>Guangxi</v>
      </c>
      <c r="I220" s="33" t="str">
        <f>VLOOKUP(C220,Sheet1!C:D,2,0)</f>
        <v>Hechi</v>
      </c>
      <c r="J220" s="62" t="s">
        <v>8</v>
      </c>
      <c r="K220" s="52" t="s">
        <v>35</v>
      </c>
      <c r="L220" s="52" t="s">
        <v>307</v>
      </c>
      <c r="M220" s="53"/>
      <c r="N220" s="53"/>
      <c r="O220" s="59"/>
    </row>
    <row r="221" spans="2:15" ht="13.9" x14ac:dyDescent="0.35">
      <c r="B221" s="50" t="s">
        <v>154</v>
      </c>
      <c r="C221" s="51" t="s">
        <v>155</v>
      </c>
      <c r="D221" s="62" t="s">
        <v>9</v>
      </c>
      <c r="E221" s="52" t="s">
        <v>34</v>
      </c>
      <c r="F221" s="53">
        <v>4</v>
      </c>
      <c r="G221" s="53">
        <v>11340</v>
      </c>
      <c r="H221" s="33" t="str">
        <f>VLOOKUP(B221,Sheet1!A:B,2,0)</f>
        <v>Guangxi</v>
      </c>
      <c r="I221" s="33" t="str">
        <f>VLOOKUP(C221,Sheet1!C:D,2,0)</f>
        <v>Hechi</v>
      </c>
      <c r="J221" s="62" t="s">
        <v>9</v>
      </c>
      <c r="K221" s="52" t="s">
        <v>35</v>
      </c>
      <c r="L221" s="52" t="s">
        <v>308</v>
      </c>
      <c r="M221" s="53"/>
      <c r="N221" s="53"/>
      <c r="O221" s="59"/>
    </row>
    <row r="222" spans="2:15" ht="13.9" x14ac:dyDescent="0.35">
      <c r="B222" s="50" t="s">
        <v>154</v>
      </c>
      <c r="C222" s="51" t="s">
        <v>155</v>
      </c>
      <c r="D222" s="62" t="s">
        <v>10</v>
      </c>
      <c r="E222" s="52" t="s">
        <v>34</v>
      </c>
      <c r="F222" s="53">
        <v>4</v>
      </c>
      <c r="G222" s="53">
        <v>11460</v>
      </c>
      <c r="H222" s="33" t="str">
        <f>VLOOKUP(B222,Sheet1!A:B,2,0)</f>
        <v>Guangxi</v>
      </c>
      <c r="I222" s="33" t="str">
        <f>VLOOKUP(C222,Sheet1!C:D,2,0)</f>
        <v>Hechi</v>
      </c>
      <c r="J222" s="62" t="s">
        <v>10</v>
      </c>
      <c r="K222" s="52" t="s">
        <v>35</v>
      </c>
      <c r="L222" s="52" t="s">
        <v>309</v>
      </c>
      <c r="M222" s="53"/>
      <c r="N222" s="53"/>
      <c r="O222" s="59"/>
    </row>
    <row r="223" spans="2:15" ht="13.9" x14ac:dyDescent="0.35">
      <c r="B223" s="50" t="s">
        <v>154</v>
      </c>
      <c r="C223" s="51" t="s">
        <v>155</v>
      </c>
      <c r="D223" s="50" t="s">
        <v>258</v>
      </c>
      <c r="E223" s="52" t="s">
        <v>48</v>
      </c>
      <c r="F223" s="53">
        <v>4</v>
      </c>
      <c r="G223" s="53">
        <v>8580</v>
      </c>
      <c r="H223" s="33" t="str">
        <f>VLOOKUP(B223,Sheet1!A:B,2,0)</f>
        <v>Guangxi</v>
      </c>
      <c r="I223" s="33" t="str">
        <f>VLOOKUP(C223,Sheet1!C:D,2,0)</f>
        <v>Hechi</v>
      </c>
      <c r="J223" s="50" t="s">
        <v>258</v>
      </c>
      <c r="K223" s="52" t="s">
        <v>50</v>
      </c>
      <c r="L223" s="52" t="s">
        <v>310</v>
      </c>
      <c r="M223" s="53"/>
      <c r="N223" s="53"/>
      <c r="O223" s="59"/>
    </row>
    <row r="224" spans="2:15" ht="13.9" x14ac:dyDescent="0.35">
      <c r="B224" s="50" t="s">
        <v>154</v>
      </c>
      <c r="C224" s="51" t="s">
        <v>155</v>
      </c>
      <c r="D224" s="50" t="s">
        <v>47</v>
      </c>
      <c r="E224" s="52" t="s">
        <v>48</v>
      </c>
      <c r="F224" s="53">
        <v>4</v>
      </c>
      <c r="G224" s="53">
        <v>11880</v>
      </c>
      <c r="H224" s="33" t="str">
        <f>VLOOKUP(B224,Sheet1!A:B,2,0)</f>
        <v>Guangxi</v>
      </c>
      <c r="I224" s="33" t="str">
        <f>VLOOKUP(C224,Sheet1!C:D,2,0)</f>
        <v>Hechi</v>
      </c>
      <c r="J224" s="50" t="s">
        <v>49</v>
      </c>
      <c r="K224" s="52" t="s">
        <v>50</v>
      </c>
      <c r="L224" s="52" t="s">
        <v>311</v>
      </c>
      <c r="M224" s="53"/>
      <c r="N224" s="53"/>
      <c r="O224" s="59"/>
    </row>
    <row r="225" spans="2:15" ht="13.9" x14ac:dyDescent="0.35">
      <c r="B225" s="50" t="s">
        <v>176</v>
      </c>
      <c r="C225" s="51" t="s">
        <v>177</v>
      </c>
      <c r="D225" s="52" t="s">
        <v>4</v>
      </c>
      <c r="E225" s="52" t="s">
        <v>34</v>
      </c>
      <c r="F225" s="53">
        <v>2</v>
      </c>
      <c r="G225" s="53">
        <v>3480</v>
      </c>
      <c r="H225" s="33" t="str">
        <f>VLOOKUP(B225,Sheet1!A:B,2,0)</f>
        <v>Hebei</v>
      </c>
      <c r="I225" s="33" t="str">
        <f>VLOOKUP(C225,Sheet1!C:D,2,0)</f>
        <v>Hejian</v>
      </c>
      <c r="J225" s="52" t="s">
        <v>4</v>
      </c>
      <c r="K225" s="52" t="s">
        <v>35</v>
      </c>
      <c r="L225" s="52" t="s">
        <v>312</v>
      </c>
      <c r="M225" s="53"/>
      <c r="N225" s="53"/>
      <c r="O225" s="59"/>
    </row>
    <row r="226" spans="2:15" ht="13.9" x14ac:dyDescent="0.35">
      <c r="B226" s="50" t="s">
        <v>176</v>
      </c>
      <c r="C226" s="51" t="s">
        <v>177</v>
      </c>
      <c r="D226" s="52" t="s">
        <v>5</v>
      </c>
      <c r="E226" s="52" t="s">
        <v>34</v>
      </c>
      <c r="F226" s="53">
        <v>2</v>
      </c>
      <c r="G226" s="53">
        <v>5220</v>
      </c>
      <c r="H226" s="33" t="str">
        <f>VLOOKUP(B226,Sheet1!A:B,2,0)</f>
        <v>Hebei</v>
      </c>
      <c r="I226" s="33" t="str">
        <f>VLOOKUP(C226,Sheet1!C:D,2,0)</f>
        <v>Hejian</v>
      </c>
      <c r="J226" s="52" t="s">
        <v>5</v>
      </c>
      <c r="K226" s="52" t="s">
        <v>35</v>
      </c>
      <c r="L226" s="52" t="s">
        <v>313</v>
      </c>
      <c r="M226" s="53"/>
      <c r="N226" s="53"/>
      <c r="O226" s="59"/>
    </row>
    <row r="227" spans="2:15" ht="13.9" x14ac:dyDescent="0.35">
      <c r="B227" s="50" t="s">
        <v>176</v>
      </c>
      <c r="C227" s="51" t="s">
        <v>177</v>
      </c>
      <c r="D227" s="52" t="s">
        <v>6</v>
      </c>
      <c r="E227" s="52" t="s">
        <v>34</v>
      </c>
      <c r="F227" s="53">
        <v>2</v>
      </c>
      <c r="G227" s="53">
        <v>5400</v>
      </c>
      <c r="H227" s="33" t="str">
        <f>VLOOKUP(B227,Sheet1!A:B,2,0)</f>
        <v>Hebei</v>
      </c>
      <c r="I227" s="33" t="str">
        <f>VLOOKUP(C227,Sheet1!C:D,2,0)</f>
        <v>Hejian</v>
      </c>
      <c r="J227" s="52" t="s">
        <v>6</v>
      </c>
      <c r="K227" s="52" t="s">
        <v>35</v>
      </c>
      <c r="L227" s="52" t="s">
        <v>314</v>
      </c>
      <c r="M227" s="53"/>
      <c r="N227" s="53"/>
      <c r="O227" s="59"/>
    </row>
    <row r="228" spans="2:15" ht="13.9" x14ac:dyDescent="0.35">
      <c r="B228" s="50" t="s">
        <v>176</v>
      </c>
      <c r="C228" s="51" t="s">
        <v>177</v>
      </c>
      <c r="D228" s="52" t="s">
        <v>7</v>
      </c>
      <c r="E228" s="52" t="s">
        <v>34</v>
      </c>
      <c r="F228" s="53">
        <v>2</v>
      </c>
      <c r="G228" s="53">
        <v>5760</v>
      </c>
      <c r="H228" s="33" t="str">
        <f>VLOOKUP(B228,Sheet1!A:B,2,0)</f>
        <v>Hebei</v>
      </c>
      <c r="I228" s="33" t="str">
        <f>VLOOKUP(C228,Sheet1!C:D,2,0)</f>
        <v>Hejian</v>
      </c>
      <c r="J228" s="52" t="s">
        <v>7</v>
      </c>
      <c r="K228" s="52" t="s">
        <v>35</v>
      </c>
      <c r="L228" s="52" t="s">
        <v>315</v>
      </c>
      <c r="M228" s="53"/>
      <c r="N228" s="53"/>
      <c r="O228" s="59"/>
    </row>
    <row r="229" spans="2:15" ht="13.9" x14ac:dyDescent="0.35">
      <c r="B229" s="50" t="s">
        <v>176</v>
      </c>
      <c r="C229" s="51" t="s">
        <v>177</v>
      </c>
      <c r="D229" s="52" t="s">
        <v>8</v>
      </c>
      <c r="E229" s="52" t="s">
        <v>34</v>
      </c>
      <c r="F229" s="53">
        <v>2</v>
      </c>
      <c r="G229" s="53">
        <v>5760</v>
      </c>
      <c r="H229" s="33" t="str">
        <f>VLOOKUP(B229,Sheet1!A:B,2,0)</f>
        <v>Hebei</v>
      </c>
      <c r="I229" s="33" t="str">
        <f>VLOOKUP(C229,Sheet1!C:D,2,0)</f>
        <v>Hejian</v>
      </c>
      <c r="J229" s="52" t="s">
        <v>8</v>
      </c>
      <c r="K229" s="52" t="s">
        <v>35</v>
      </c>
      <c r="L229" s="52" t="s">
        <v>316</v>
      </c>
      <c r="M229" s="53"/>
      <c r="N229" s="53"/>
      <c r="O229" s="59"/>
    </row>
    <row r="230" spans="2:15" ht="13.9" x14ac:dyDescent="0.35">
      <c r="B230" s="50" t="s">
        <v>176</v>
      </c>
      <c r="C230" s="51" t="s">
        <v>177</v>
      </c>
      <c r="D230" s="50" t="s">
        <v>258</v>
      </c>
      <c r="E230" s="52" t="s">
        <v>48</v>
      </c>
      <c r="F230" s="53">
        <v>2</v>
      </c>
      <c r="G230" s="53">
        <v>6600</v>
      </c>
      <c r="H230" s="33" t="str">
        <f>VLOOKUP(B230,Sheet1!A:B,2,0)</f>
        <v>Hebei</v>
      </c>
      <c r="I230" s="33" t="str">
        <f>VLOOKUP(C230,Sheet1!C:D,2,0)</f>
        <v>Hejian</v>
      </c>
      <c r="J230" s="50" t="s">
        <v>258</v>
      </c>
      <c r="K230" s="52" t="s">
        <v>50</v>
      </c>
      <c r="L230" s="52" t="s">
        <v>317</v>
      </c>
      <c r="M230" s="53"/>
      <c r="N230" s="53"/>
      <c r="O230" s="59"/>
    </row>
    <row r="231" spans="2:15" ht="13.9" x14ac:dyDescent="0.35">
      <c r="B231" s="50" t="s">
        <v>176</v>
      </c>
      <c r="C231" s="51" t="s">
        <v>177</v>
      </c>
      <c r="D231" s="52" t="s">
        <v>10</v>
      </c>
      <c r="E231" s="52" t="s">
        <v>34</v>
      </c>
      <c r="F231" s="53">
        <v>2</v>
      </c>
      <c r="G231" s="53">
        <v>10200</v>
      </c>
      <c r="H231" s="33" t="str">
        <f>VLOOKUP(B231,Sheet1!A:B,2,0)</f>
        <v>Hebei</v>
      </c>
      <c r="I231" s="33" t="str">
        <f>VLOOKUP(C231,Sheet1!C:D,2,0)</f>
        <v>Hejian</v>
      </c>
      <c r="J231" s="52" t="s">
        <v>10</v>
      </c>
      <c r="K231" s="52" t="s">
        <v>35</v>
      </c>
      <c r="L231" s="52" t="s">
        <v>318</v>
      </c>
      <c r="M231" s="53"/>
      <c r="N231" s="53"/>
      <c r="O231" s="59"/>
    </row>
    <row r="232" spans="2:15" ht="13.9" x14ac:dyDescent="0.35">
      <c r="B232" s="50" t="s">
        <v>176</v>
      </c>
      <c r="C232" s="51" t="s">
        <v>177</v>
      </c>
      <c r="D232" s="52" t="s">
        <v>11</v>
      </c>
      <c r="E232" s="52" t="s">
        <v>34</v>
      </c>
      <c r="F232" s="53">
        <v>2</v>
      </c>
      <c r="G232" s="53">
        <v>10800</v>
      </c>
      <c r="H232" s="33" t="str">
        <f>VLOOKUP(B232,Sheet1!A:B,2,0)</f>
        <v>Hebei</v>
      </c>
      <c r="I232" s="33" t="str">
        <f>VLOOKUP(C232,Sheet1!C:D,2,0)</f>
        <v>Hejian</v>
      </c>
      <c r="J232" s="52" t="s">
        <v>11</v>
      </c>
      <c r="K232" s="52" t="s">
        <v>35</v>
      </c>
      <c r="L232" s="52" t="s">
        <v>319</v>
      </c>
      <c r="M232" s="53"/>
      <c r="N232" s="53"/>
      <c r="O232" s="59"/>
    </row>
    <row r="233" spans="2:15" ht="13.9" x14ac:dyDescent="0.35">
      <c r="B233" s="50" t="s">
        <v>80</v>
      </c>
      <c r="C233" s="51" t="s">
        <v>107</v>
      </c>
      <c r="D233" s="52" t="s">
        <v>5</v>
      </c>
      <c r="E233" s="52" t="s">
        <v>34</v>
      </c>
      <c r="F233" s="53">
        <v>3</v>
      </c>
      <c r="G233" s="53">
        <v>3960</v>
      </c>
      <c r="H233" s="33" t="str">
        <f>VLOOKUP(B233,Sheet1!A:B,2,0)</f>
        <v>Guangdong</v>
      </c>
      <c r="I233" s="33" t="str">
        <f>VLOOKUP(C233,Sheet1!C:D,2,0)</f>
        <v>Heyuan</v>
      </c>
      <c r="J233" s="52" t="s">
        <v>5</v>
      </c>
      <c r="K233" s="52" t="s">
        <v>35</v>
      </c>
      <c r="L233" s="52" t="s">
        <v>320</v>
      </c>
      <c r="M233" s="53"/>
      <c r="N233" s="53"/>
      <c r="O233" s="59"/>
    </row>
    <row r="234" spans="2:15" ht="13.9" x14ac:dyDescent="0.35">
      <c r="B234" s="50" t="s">
        <v>80</v>
      </c>
      <c r="C234" s="51" t="s">
        <v>107</v>
      </c>
      <c r="D234" s="52" t="s">
        <v>6</v>
      </c>
      <c r="E234" s="52" t="s">
        <v>34</v>
      </c>
      <c r="F234" s="53">
        <v>3</v>
      </c>
      <c r="G234" s="53">
        <v>4800</v>
      </c>
      <c r="H234" s="33" t="str">
        <f>VLOOKUP(B234,Sheet1!A:B,2,0)</f>
        <v>Guangdong</v>
      </c>
      <c r="I234" s="33" t="str">
        <f>VLOOKUP(C234,Sheet1!C:D,2,0)</f>
        <v>Heyuan</v>
      </c>
      <c r="J234" s="52" t="s">
        <v>6</v>
      </c>
      <c r="K234" s="52" t="s">
        <v>35</v>
      </c>
      <c r="L234" s="52" t="s">
        <v>321</v>
      </c>
      <c r="M234" s="53"/>
      <c r="N234" s="53"/>
      <c r="O234" s="59"/>
    </row>
    <row r="235" spans="2:15" ht="13.9" x14ac:dyDescent="0.35">
      <c r="B235" s="50" t="s">
        <v>80</v>
      </c>
      <c r="C235" s="51" t="s">
        <v>107</v>
      </c>
      <c r="D235" s="52" t="s">
        <v>8</v>
      </c>
      <c r="E235" s="52" t="s">
        <v>34</v>
      </c>
      <c r="F235" s="53">
        <v>3</v>
      </c>
      <c r="G235" s="53">
        <v>4860</v>
      </c>
      <c r="H235" s="33" t="str">
        <f>VLOOKUP(B235,Sheet1!A:B,2,0)</f>
        <v>Guangdong</v>
      </c>
      <c r="I235" s="33" t="str">
        <f>VLOOKUP(C235,Sheet1!C:D,2,0)</f>
        <v>Heyuan</v>
      </c>
      <c r="J235" s="52" t="s">
        <v>8</v>
      </c>
      <c r="K235" s="52" t="s">
        <v>35</v>
      </c>
      <c r="L235" s="52" t="s">
        <v>322</v>
      </c>
      <c r="M235" s="53"/>
      <c r="N235" s="53"/>
      <c r="O235" s="59"/>
    </row>
    <row r="236" spans="2:15" ht="13.9" x14ac:dyDescent="0.35">
      <c r="B236" s="50" t="s">
        <v>80</v>
      </c>
      <c r="C236" s="51" t="s">
        <v>107</v>
      </c>
      <c r="D236" s="52" t="s">
        <v>9</v>
      </c>
      <c r="E236" s="52" t="s">
        <v>34</v>
      </c>
      <c r="F236" s="53">
        <v>3</v>
      </c>
      <c r="G236" s="53">
        <v>6720</v>
      </c>
      <c r="H236" s="33" t="str">
        <f>VLOOKUP(B236,Sheet1!A:B,2,0)</f>
        <v>Guangdong</v>
      </c>
      <c r="I236" s="33" t="str">
        <f>VLOOKUP(C236,Sheet1!C:D,2,0)</f>
        <v>Heyuan</v>
      </c>
      <c r="J236" s="52" t="s">
        <v>9</v>
      </c>
      <c r="K236" s="52" t="s">
        <v>35</v>
      </c>
      <c r="L236" s="52" t="s">
        <v>323</v>
      </c>
      <c r="M236" s="53"/>
      <c r="N236" s="53"/>
      <c r="O236" s="59"/>
    </row>
    <row r="237" spans="2:15" ht="13.9" x14ac:dyDescent="0.35">
      <c r="B237" s="50" t="s">
        <v>80</v>
      </c>
      <c r="C237" s="51" t="s">
        <v>107</v>
      </c>
      <c r="D237" s="52" t="s">
        <v>10</v>
      </c>
      <c r="E237" s="52" t="s">
        <v>34</v>
      </c>
      <c r="F237" s="53">
        <v>3</v>
      </c>
      <c r="G237" s="53">
        <v>8200</v>
      </c>
      <c r="H237" s="33" t="str">
        <f>VLOOKUP(B237,Sheet1!A:B,2,0)</f>
        <v>Guangdong</v>
      </c>
      <c r="I237" s="33" t="str">
        <f>VLOOKUP(C237,Sheet1!C:D,2,0)</f>
        <v>Heyuan</v>
      </c>
      <c r="J237" s="52" t="s">
        <v>10</v>
      </c>
      <c r="K237" s="52" t="s">
        <v>35</v>
      </c>
      <c r="L237" s="52" t="s">
        <v>324</v>
      </c>
      <c r="M237" s="53"/>
      <c r="N237" s="53"/>
      <c r="O237" s="59"/>
    </row>
    <row r="238" spans="2:15" ht="13.9" x14ac:dyDescent="0.35">
      <c r="B238" s="50" t="s">
        <v>80</v>
      </c>
      <c r="C238" s="51" t="s">
        <v>107</v>
      </c>
      <c r="D238" s="52" t="s">
        <v>258</v>
      </c>
      <c r="E238" s="52" t="s">
        <v>48</v>
      </c>
      <c r="F238" s="53">
        <v>3</v>
      </c>
      <c r="G238" s="53">
        <v>4800</v>
      </c>
      <c r="H238" s="33" t="str">
        <f>VLOOKUP(B238,Sheet1!A:B,2,0)</f>
        <v>Guangdong</v>
      </c>
      <c r="I238" s="33" t="str">
        <f>VLOOKUP(C238,Sheet1!C:D,2,0)</f>
        <v>Heyuan</v>
      </c>
      <c r="J238" s="52" t="s">
        <v>258</v>
      </c>
      <c r="K238" s="52" t="s">
        <v>50</v>
      </c>
      <c r="L238" s="52" t="s">
        <v>325</v>
      </c>
      <c r="M238" s="53"/>
      <c r="N238" s="53"/>
      <c r="O238" s="59"/>
    </row>
    <row r="239" spans="2:15" ht="13.9" x14ac:dyDescent="0.35">
      <c r="B239" s="50" t="s">
        <v>80</v>
      </c>
      <c r="C239" s="51" t="s">
        <v>107</v>
      </c>
      <c r="D239" s="52" t="s">
        <v>326</v>
      </c>
      <c r="E239" s="52" t="s">
        <v>48</v>
      </c>
      <c r="F239" s="53">
        <v>3</v>
      </c>
      <c r="G239" s="53">
        <v>8200</v>
      </c>
      <c r="H239" s="33" t="str">
        <f>VLOOKUP(B239,Sheet1!A:B,2,0)</f>
        <v>Guangdong</v>
      </c>
      <c r="I239" s="33" t="str">
        <f>VLOOKUP(C239,Sheet1!C:D,2,0)</f>
        <v>Heyuan</v>
      </c>
      <c r="J239" s="50" t="s">
        <v>327</v>
      </c>
      <c r="K239" s="52" t="s">
        <v>50</v>
      </c>
      <c r="L239" s="52" t="str">
        <f>H239&amp;I239&amp;J239&amp;K239</f>
        <v>GuangdongHeyuan40’HQDRY - SOC</v>
      </c>
      <c r="M239" s="53"/>
      <c r="N239" s="53"/>
      <c r="O239" s="59"/>
    </row>
    <row r="240" spans="2:15" ht="13.9" x14ac:dyDescent="0.35">
      <c r="B240" s="50" t="s">
        <v>80</v>
      </c>
      <c r="C240" s="51" t="s">
        <v>113</v>
      </c>
      <c r="D240" s="52" t="s">
        <v>7</v>
      </c>
      <c r="E240" s="52" t="s">
        <v>34</v>
      </c>
      <c r="F240" s="53">
        <v>3</v>
      </c>
      <c r="G240" s="53">
        <v>5280</v>
      </c>
      <c r="H240" s="33" t="str">
        <f>VLOOKUP(B240,Sheet1!A:B,2,0)</f>
        <v>Guangdong</v>
      </c>
      <c r="I240" s="33" t="str">
        <f>VLOOKUP(C240,Sheet1!C:D,2,0)</f>
        <v>Huizhou</v>
      </c>
      <c r="J240" s="52" t="s">
        <v>7</v>
      </c>
      <c r="K240" s="52" t="s">
        <v>35</v>
      </c>
      <c r="L240" s="52" t="s">
        <v>328</v>
      </c>
      <c r="M240" s="53"/>
      <c r="N240" s="53"/>
      <c r="O240" s="59"/>
    </row>
    <row r="241" spans="2:15" ht="13.9" x14ac:dyDescent="0.35">
      <c r="B241" s="50" t="s">
        <v>80</v>
      </c>
      <c r="C241" s="51" t="s">
        <v>113</v>
      </c>
      <c r="D241" s="50" t="s">
        <v>258</v>
      </c>
      <c r="E241" s="52" t="s">
        <v>48</v>
      </c>
      <c r="F241" s="53">
        <v>3</v>
      </c>
      <c r="G241" s="53">
        <v>4980</v>
      </c>
      <c r="H241" s="33" t="str">
        <f>VLOOKUP(B241,Sheet1!A:B,2,0)</f>
        <v>Guangdong</v>
      </c>
      <c r="I241" s="33" t="str">
        <f>VLOOKUP(C241,Sheet1!C:D,2,0)</f>
        <v>Huizhou</v>
      </c>
      <c r="J241" s="50" t="s">
        <v>258</v>
      </c>
      <c r="K241" s="52" t="s">
        <v>50</v>
      </c>
      <c r="L241" s="52" t="s">
        <v>329</v>
      </c>
      <c r="M241" s="53"/>
      <c r="N241" s="53"/>
      <c r="O241" s="59"/>
    </row>
    <row r="242" spans="2:15" ht="13.9" x14ac:dyDescent="0.35">
      <c r="B242" s="50" t="s">
        <v>80</v>
      </c>
      <c r="C242" s="51" t="s">
        <v>113</v>
      </c>
      <c r="D242" s="52" t="s">
        <v>10</v>
      </c>
      <c r="E242" s="52" t="s">
        <v>34</v>
      </c>
      <c r="F242" s="53">
        <v>3</v>
      </c>
      <c r="G242" s="53">
        <v>8100</v>
      </c>
      <c r="H242" s="33" t="str">
        <f>VLOOKUP(B242,Sheet1!A:B,2,0)</f>
        <v>Guangdong</v>
      </c>
      <c r="I242" s="33" t="str">
        <f>VLOOKUP(C242,Sheet1!C:D,2,0)</f>
        <v>Huizhou</v>
      </c>
      <c r="J242" s="52" t="s">
        <v>10</v>
      </c>
      <c r="K242" s="52" t="s">
        <v>35</v>
      </c>
      <c r="L242" s="52" t="s">
        <v>330</v>
      </c>
      <c r="M242" s="53"/>
      <c r="N242" s="53"/>
      <c r="O242" s="59"/>
    </row>
    <row r="243" spans="2:15" ht="13.9" x14ac:dyDescent="0.35">
      <c r="B243" s="63" t="s">
        <v>259</v>
      </c>
      <c r="C243" s="63" t="s">
        <v>260</v>
      </c>
      <c r="D243" s="50" t="s">
        <v>258</v>
      </c>
      <c r="E243" s="52" t="s">
        <v>48</v>
      </c>
      <c r="F243" s="53">
        <v>2</v>
      </c>
      <c r="G243" s="53">
        <v>1884</v>
      </c>
      <c r="H243" s="33" t="str">
        <f>VLOOKUP(B243,Sheet1!A:B,2,0)</f>
        <v>Zhejiang</v>
      </c>
      <c r="I243" s="33" t="str">
        <f>VLOOKUP(C243,Sheet1!C:D,2,0)</f>
        <v>Huzhou</v>
      </c>
      <c r="J243" s="50" t="s">
        <v>258</v>
      </c>
      <c r="K243" s="52" t="s">
        <v>50</v>
      </c>
      <c r="L243" s="52" t="s">
        <v>331</v>
      </c>
      <c r="M243" s="53"/>
      <c r="N243" s="53"/>
      <c r="O243" s="59"/>
    </row>
    <row r="244" spans="2:15" ht="13.9" x14ac:dyDescent="0.35">
      <c r="B244" s="63" t="s">
        <v>259</v>
      </c>
      <c r="C244" s="63" t="s">
        <v>260</v>
      </c>
      <c r="D244" s="52" t="s">
        <v>7</v>
      </c>
      <c r="E244" s="52" t="s">
        <v>34</v>
      </c>
      <c r="F244" s="53">
        <v>2</v>
      </c>
      <c r="G244" s="53">
        <v>1860</v>
      </c>
      <c r="H244" s="33" t="str">
        <f>VLOOKUP(B244,Sheet1!A:B,2,0)</f>
        <v>Zhejiang</v>
      </c>
      <c r="I244" s="33" t="str">
        <f>VLOOKUP(C244,Sheet1!C:D,2,0)</f>
        <v>Huzhou</v>
      </c>
      <c r="J244" s="52" t="s">
        <v>7</v>
      </c>
      <c r="K244" s="52" t="s">
        <v>35</v>
      </c>
      <c r="L244" s="52" t="s">
        <v>332</v>
      </c>
      <c r="M244" s="53"/>
      <c r="N244" s="53"/>
      <c r="O244" s="59"/>
    </row>
    <row r="245" spans="2:15" ht="13.9" x14ac:dyDescent="0.35">
      <c r="B245" s="63" t="s">
        <v>259</v>
      </c>
      <c r="C245" s="63" t="s">
        <v>260</v>
      </c>
      <c r="D245" s="52" t="s">
        <v>8</v>
      </c>
      <c r="E245" s="52" t="s">
        <v>34</v>
      </c>
      <c r="F245" s="53">
        <v>2</v>
      </c>
      <c r="G245" s="53">
        <v>1860</v>
      </c>
      <c r="H245" s="33" t="str">
        <f>VLOOKUP(B245,Sheet1!A:B,2,0)</f>
        <v>Zhejiang</v>
      </c>
      <c r="I245" s="33" t="str">
        <f>VLOOKUP(C245,Sheet1!C:D,2,0)</f>
        <v>Huzhou</v>
      </c>
      <c r="J245" s="52" t="s">
        <v>8</v>
      </c>
      <c r="K245" s="52" t="s">
        <v>35</v>
      </c>
      <c r="L245" s="52" t="s">
        <v>333</v>
      </c>
      <c r="M245" s="53"/>
      <c r="N245" s="53"/>
      <c r="O245" s="59"/>
    </row>
    <row r="246" spans="2:15" ht="13.9" x14ac:dyDescent="0.35">
      <c r="B246" s="63" t="s">
        <v>259</v>
      </c>
      <c r="C246" s="63" t="s">
        <v>260</v>
      </c>
      <c r="D246" s="52" t="s">
        <v>9</v>
      </c>
      <c r="E246" s="52" t="s">
        <v>34</v>
      </c>
      <c r="F246" s="53">
        <v>2</v>
      </c>
      <c r="G246" s="53">
        <v>2232</v>
      </c>
      <c r="H246" s="33" t="str">
        <f>VLOOKUP(B246,Sheet1!A:B,2,0)</f>
        <v>Zhejiang</v>
      </c>
      <c r="I246" s="33" t="str">
        <f>VLOOKUP(C246,Sheet1!C:D,2,0)</f>
        <v>Huzhou</v>
      </c>
      <c r="J246" s="52" t="s">
        <v>9</v>
      </c>
      <c r="K246" s="52" t="s">
        <v>35</v>
      </c>
      <c r="L246" s="52" t="s">
        <v>334</v>
      </c>
      <c r="M246" s="53"/>
      <c r="N246" s="53"/>
      <c r="O246" s="59"/>
    </row>
    <row r="247" spans="2:15" ht="13.9" x14ac:dyDescent="0.35">
      <c r="B247" s="50" t="s">
        <v>80</v>
      </c>
      <c r="C247" s="51" t="s">
        <v>123</v>
      </c>
      <c r="D247" s="52" t="s">
        <v>5</v>
      </c>
      <c r="E247" s="52" t="s">
        <v>34</v>
      </c>
      <c r="F247" s="53">
        <v>3</v>
      </c>
      <c r="G247" s="53">
        <v>3240</v>
      </c>
      <c r="H247" s="33" t="str">
        <f>VLOOKUP(B247,Sheet1!A:B,2,0)</f>
        <v>Guangdong</v>
      </c>
      <c r="I247" s="33" t="str">
        <f>VLOOKUP(C247,Sheet1!C:D,2,0)</f>
        <v>Jiangmen</v>
      </c>
      <c r="J247" s="52" t="s">
        <v>5</v>
      </c>
      <c r="K247" s="52" t="s">
        <v>35</v>
      </c>
      <c r="L247" s="52" t="s">
        <v>335</v>
      </c>
      <c r="M247" s="53"/>
      <c r="N247" s="53"/>
      <c r="O247" s="59"/>
    </row>
    <row r="248" spans="2:15" ht="13.9" x14ac:dyDescent="0.35">
      <c r="B248" s="50" t="s">
        <v>80</v>
      </c>
      <c r="C248" s="51" t="s">
        <v>123</v>
      </c>
      <c r="D248" s="52" t="s">
        <v>6</v>
      </c>
      <c r="E248" s="52" t="s">
        <v>34</v>
      </c>
      <c r="F248" s="53">
        <v>3</v>
      </c>
      <c r="G248" s="53">
        <v>5520</v>
      </c>
      <c r="H248" s="33" t="str">
        <f>VLOOKUP(B248,Sheet1!A:B,2,0)</f>
        <v>Guangdong</v>
      </c>
      <c r="I248" s="33" t="str">
        <f>VLOOKUP(C248,Sheet1!C:D,2,0)</f>
        <v>Jiangmen</v>
      </c>
      <c r="J248" s="52" t="s">
        <v>6</v>
      </c>
      <c r="K248" s="52" t="s">
        <v>35</v>
      </c>
      <c r="L248" s="52" t="s">
        <v>336</v>
      </c>
      <c r="M248" s="53"/>
      <c r="N248" s="53"/>
      <c r="O248" s="59"/>
    </row>
    <row r="249" spans="2:15" ht="13.9" x14ac:dyDescent="0.35">
      <c r="B249" s="50" t="s">
        <v>80</v>
      </c>
      <c r="C249" s="51" t="s">
        <v>123</v>
      </c>
      <c r="D249" s="52" t="s">
        <v>7</v>
      </c>
      <c r="E249" s="52" t="s">
        <v>34</v>
      </c>
      <c r="F249" s="53">
        <v>3</v>
      </c>
      <c r="G249" s="53">
        <v>5760</v>
      </c>
      <c r="H249" s="33" t="str">
        <f>VLOOKUP(B249,Sheet1!A:B,2,0)</f>
        <v>Guangdong</v>
      </c>
      <c r="I249" s="33" t="str">
        <f>VLOOKUP(C249,Sheet1!C:D,2,0)</f>
        <v>Jiangmen</v>
      </c>
      <c r="J249" s="52" t="s">
        <v>7</v>
      </c>
      <c r="K249" s="52" t="s">
        <v>35</v>
      </c>
      <c r="L249" s="52" t="s">
        <v>337</v>
      </c>
      <c r="M249" s="53"/>
      <c r="N249" s="53"/>
      <c r="O249" s="59"/>
    </row>
    <row r="250" spans="2:15" ht="13.9" x14ac:dyDescent="0.35">
      <c r="B250" s="50" t="s">
        <v>80</v>
      </c>
      <c r="C250" s="51" t="s">
        <v>123</v>
      </c>
      <c r="D250" s="52" t="s">
        <v>8</v>
      </c>
      <c r="E250" s="52" t="s">
        <v>34</v>
      </c>
      <c r="F250" s="53">
        <v>3</v>
      </c>
      <c r="G250" s="53">
        <v>5760</v>
      </c>
      <c r="H250" s="33" t="str">
        <f>VLOOKUP(B250,Sheet1!A:B,2,0)</f>
        <v>Guangdong</v>
      </c>
      <c r="I250" s="33" t="str">
        <f>VLOOKUP(C250,Sheet1!C:D,2,0)</f>
        <v>Jiangmen</v>
      </c>
      <c r="J250" s="52" t="s">
        <v>8</v>
      </c>
      <c r="K250" s="52" t="s">
        <v>35</v>
      </c>
      <c r="L250" s="52" t="s">
        <v>338</v>
      </c>
      <c r="M250" s="53"/>
      <c r="N250" s="53"/>
      <c r="O250" s="59"/>
    </row>
    <row r="251" spans="2:15" ht="13.9" x14ac:dyDescent="0.35">
      <c r="B251" s="50" t="s">
        <v>80</v>
      </c>
      <c r="C251" s="51" t="s">
        <v>123</v>
      </c>
      <c r="D251" s="52" t="s">
        <v>9</v>
      </c>
      <c r="E251" s="52" t="s">
        <v>34</v>
      </c>
      <c r="F251" s="53">
        <v>3</v>
      </c>
      <c r="G251" s="53">
        <v>7440</v>
      </c>
      <c r="H251" s="33" t="str">
        <f>VLOOKUP(B251,Sheet1!A:B,2,0)</f>
        <v>Guangdong</v>
      </c>
      <c r="I251" s="33" t="str">
        <f>VLOOKUP(C251,Sheet1!C:D,2,0)</f>
        <v>Jiangmen</v>
      </c>
      <c r="J251" s="52" t="s">
        <v>9</v>
      </c>
      <c r="K251" s="52" t="s">
        <v>35</v>
      </c>
      <c r="L251" s="52" t="s">
        <v>339</v>
      </c>
      <c r="M251" s="53"/>
      <c r="N251" s="53"/>
      <c r="O251" s="59"/>
    </row>
    <row r="252" spans="2:15" ht="13.9" x14ac:dyDescent="0.35">
      <c r="B252" s="50" t="s">
        <v>80</v>
      </c>
      <c r="C252" s="51" t="s">
        <v>123</v>
      </c>
      <c r="D252" s="52" t="s">
        <v>10</v>
      </c>
      <c r="E252" s="52" t="s">
        <v>34</v>
      </c>
      <c r="F252" s="53">
        <v>3</v>
      </c>
      <c r="G252" s="53">
        <v>9000</v>
      </c>
      <c r="H252" s="33" t="str">
        <f>VLOOKUP(B252,Sheet1!A:B,2,0)</f>
        <v>Guangdong</v>
      </c>
      <c r="I252" s="33" t="str">
        <f>VLOOKUP(C252,Sheet1!C:D,2,0)</f>
        <v>Jiangmen</v>
      </c>
      <c r="J252" s="52" t="s">
        <v>10</v>
      </c>
      <c r="K252" s="52" t="s">
        <v>35</v>
      </c>
      <c r="L252" s="52" t="s">
        <v>340</v>
      </c>
      <c r="M252" s="53"/>
      <c r="N252" s="53"/>
      <c r="O252" s="59"/>
    </row>
    <row r="253" spans="2:15" ht="13.9" x14ac:dyDescent="0.35">
      <c r="B253" s="50" t="s">
        <v>80</v>
      </c>
      <c r="C253" s="51" t="s">
        <v>123</v>
      </c>
      <c r="D253" s="52" t="s">
        <v>11</v>
      </c>
      <c r="E253" s="52" t="s">
        <v>34</v>
      </c>
      <c r="F253" s="53">
        <v>3</v>
      </c>
      <c r="G253" s="53">
        <v>9000</v>
      </c>
      <c r="H253" s="33" t="str">
        <f>VLOOKUP(B253,Sheet1!A:B,2,0)</f>
        <v>Guangdong</v>
      </c>
      <c r="I253" s="33" t="str">
        <f>VLOOKUP(C253,Sheet1!C:D,2,0)</f>
        <v>Jiangmen</v>
      </c>
      <c r="J253" s="52" t="s">
        <v>11</v>
      </c>
      <c r="K253" s="52" t="s">
        <v>35</v>
      </c>
      <c r="L253" s="52" t="s">
        <v>341</v>
      </c>
      <c r="M253" s="53"/>
      <c r="N253" s="53"/>
      <c r="O253" s="59"/>
    </row>
    <row r="254" spans="2:15" ht="13.9" x14ac:dyDescent="0.35">
      <c r="B254" s="50" t="s">
        <v>80</v>
      </c>
      <c r="C254" s="51" t="s">
        <v>123</v>
      </c>
      <c r="D254" s="52" t="s">
        <v>258</v>
      </c>
      <c r="E254" s="52" t="s">
        <v>48</v>
      </c>
      <c r="F254" s="53">
        <v>3</v>
      </c>
      <c r="G254" s="53">
        <v>5400</v>
      </c>
      <c r="H254" s="33" t="str">
        <f>VLOOKUP(B254,Sheet1!A:B,2,0)</f>
        <v>Guangdong</v>
      </c>
      <c r="I254" s="33" t="str">
        <f>VLOOKUP(C254,Sheet1!C:D,2,0)</f>
        <v>Jiangmen</v>
      </c>
      <c r="J254" s="52" t="s">
        <v>258</v>
      </c>
      <c r="K254" s="52" t="s">
        <v>50</v>
      </c>
      <c r="L254" s="52" t="s">
        <v>342</v>
      </c>
      <c r="M254" s="53"/>
      <c r="N254" s="53"/>
      <c r="O254" s="59"/>
    </row>
    <row r="255" spans="2:15" ht="13.9" x14ac:dyDescent="0.35">
      <c r="B255" s="50" t="s">
        <v>80</v>
      </c>
      <c r="C255" s="51" t="s">
        <v>123</v>
      </c>
      <c r="D255" s="52" t="s">
        <v>326</v>
      </c>
      <c r="E255" s="52" t="s">
        <v>48</v>
      </c>
      <c r="F255" s="53">
        <v>3</v>
      </c>
      <c r="G255" s="53">
        <v>9000</v>
      </c>
      <c r="H255" s="33" t="str">
        <f>VLOOKUP(B255,Sheet1!A:B,2,0)</f>
        <v>Guangdong</v>
      </c>
      <c r="I255" s="33" t="str">
        <f>VLOOKUP(C255,Sheet1!C:D,2,0)</f>
        <v>Jiangmen</v>
      </c>
      <c r="J255" s="50" t="s">
        <v>327</v>
      </c>
      <c r="K255" s="52" t="s">
        <v>50</v>
      </c>
      <c r="L255" s="52" t="str">
        <f>H255&amp;I255&amp;J255&amp;K255</f>
        <v>GuangdongJiangmen40’HQDRY - SOC</v>
      </c>
      <c r="M255" s="53"/>
      <c r="N255" s="53"/>
      <c r="O255" s="59"/>
    </row>
    <row r="256" spans="2:15" ht="13.9" x14ac:dyDescent="0.35">
      <c r="B256" s="50" t="s">
        <v>191</v>
      </c>
      <c r="C256" s="51" t="s">
        <v>194</v>
      </c>
      <c r="D256" s="52" t="s">
        <v>4</v>
      </c>
      <c r="E256" s="52" t="s">
        <v>34</v>
      </c>
      <c r="F256" s="53">
        <v>2</v>
      </c>
      <c r="G256" s="53">
        <v>1800</v>
      </c>
      <c r="H256" s="33" t="str">
        <f>VLOOKUP(B256,Sheet1!A:B,2,0)</f>
        <v>Jiangsu</v>
      </c>
      <c r="I256" s="33" t="str">
        <f>VLOOKUP(C256,Sheet1!C:D,2,0)</f>
        <v>Lianyungang</v>
      </c>
      <c r="J256" s="52" t="s">
        <v>4</v>
      </c>
      <c r="K256" s="52" t="s">
        <v>35</v>
      </c>
      <c r="L256" s="52" t="s">
        <v>343</v>
      </c>
      <c r="M256" s="53"/>
      <c r="N256" s="53"/>
      <c r="O256" s="59"/>
    </row>
    <row r="257" spans="2:15" ht="13.9" x14ac:dyDescent="0.35">
      <c r="B257" s="50" t="s">
        <v>191</v>
      </c>
      <c r="C257" s="51" t="s">
        <v>194</v>
      </c>
      <c r="D257" s="52" t="s">
        <v>8</v>
      </c>
      <c r="E257" s="52" t="s">
        <v>34</v>
      </c>
      <c r="F257" s="53">
        <v>2</v>
      </c>
      <c r="G257" s="53">
        <v>3300</v>
      </c>
      <c r="H257" s="33" t="str">
        <f>VLOOKUP(B257,Sheet1!A:B,2,0)</f>
        <v>Jiangsu</v>
      </c>
      <c r="I257" s="33" t="str">
        <f>VLOOKUP(C257,Sheet1!C:D,2,0)</f>
        <v>Lianyungang</v>
      </c>
      <c r="J257" s="52" t="s">
        <v>8</v>
      </c>
      <c r="K257" s="52" t="s">
        <v>35</v>
      </c>
      <c r="L257" s="52" t="s">
        <v>344</v>
      </c>
      <c r="M257" s="53"/>
      <c r="N257" s="53"/>
      <c r="O257" s="59"/>
    </row>
    <row r="258" spans="2:15" ht="13.9" x14ac:dyDescent="0.35">
      <c r="B258" s="50" t="s">
        <v>191</v>
      </c>
      <c r="C258" s="51" t="s">
        <v>194</v>
      </c>
      <c r="D258" s="52" t="s">
        <v>9</v>
      </c>
      <c r="E258" s="52" t="s">
        <v>34</v>
      </c>
      <c r="F258" s="53">
        <v>2</v>
      </c>
      <c r="G258" s="53">
        <v>5520</v>
      </c>
      <c r="H258" s="33" t="str">
        <f>VLOOKUP(B258,Sheet1!A:B,2,0)</f>
        <v>Jiangsu</v>
      </c>
      <c r="I258" s="33" t="str">
        <f>VLOOKUP(C258,Sheet1!C:D,2,0)</f>
        <v>Lianyungang</v>
      </c>
      <c r="J258" s="52" t="s">
        <v>9</v>
      </c>
      <c r="K258" s="52" t="s">
        <v>35</v>
      </c>
      <c r="L258" s="52" t="s">
        <v>345</v>
      </c>
      <c r="M258" s="53"/>
      <c r="N258" s="53"/>
      <c r="O258" s="59"/>
    </row>
    <row r="259" spans="2:15" ht="13.9" x14ac:dyDescent="0.35">
      <c r="B259" s="50" t="s">
        <v>191</v>
      </c>
      <c r="C259" s="51" t="s">
        <v>194</v>
      </c>
      <c r="D259" s="52" t="s">
        <v>11</v>
      </c>
      <c r="E259" s="52" t="s">
        <v>34</v>
      </c>
      <c r="F259" s="53">
        <v>2</v>
      </c>
      <c r="G259" s="53">
        <v>5520</v>
      </c>
      <c r="H259" s="33" t="str">
        <f>VLOOKUP(B259,Sheet1!A:B,2,0)</f>
        <v>Jiangsu</v>
      </c>
      <c r="I259" s="33" t="str">
        <f>VLOOKUP(C259,Sheet1!C:D,2,0)</f>
        <v>Lianyungang</v>
      </c>
      <c r="J259" s="52" t="s">
        <v>11</v>
      </c>
      <c r="K259" s="52" t="s">
        <v>35</v>
      </c>
      <c r="L259" s="52" t="s">
        <v>346</v>
      </c>
      <c r="M259" s="53"/>
      <c r="N259" s="53"/>
      <c r="O259" s="59"/>
    </row>
    <row r="260" spans="2:15" ht="13.9" x14ac:dyDescent="0.35">
      <c r="B260" s="50" t="s">
        <v>191</v>
      </c>
      <c r="C260" s="51" t="s">
        <v>194</v>
      </c>
      <c r="D260" s="52" t="s">
        <v>258</v>
      </c>
      <c r="E260" s="52" t="s">
        <v>48</v>
      </c>
      <c r="F260" s="53">
        <v>2</v>
      </c>
      <c r="G260" s="53">
        <v>3720</v>
      </c>
      <c r="H260" s="33" t="str">
        <f>VLOOKUP(B260,Sheet1!A:B,2,0)</f>
        <v>Jiangsu</v>
      </c>
      <c r="I260" s="33" t="str">
        <f>VLOOKUP(C260,Sheet1!C:D,2,0)</f>
        <v>Lianyungang</v>
      </c>
      <c r="J260" s="52" t="s">
        <v>258</v>
      </c>
      <c r="K260" s="52" t="s">
        <v>50</v>
      </c>
      <c r="L260" s="52" t="s">
        <v>347</v>
      </c>
      <c r="M260" s="53"/>
      <c r="N260" s="53"/>
      <c r="O260" s="59"/>
    </row>
    <row r="261" spans="2:15" ht="13.9" x14ac:dyDescent="0.35">
      <c r="B261" s="50" t="s">
        <v>191</v>
      </c>
      <c r="C261" s="51" t="s">
        <v>194</v>
      </c>
      <c r="D261" s="52" t="s">
        <v>326</v>
      </c>
      <c r="E261" s="52" t="s">
        <v>48</v>
      </c>
      <c r="F261" s="53">
        <v>2</v>
      </c>
      <c r="G261" s="53">
        <v>5820</v>
      </c>
      <c r="H261" s="33" t="str">
        <f>VLOOKUP(B261,Sheet1!A:B,2,0)</f>
        <v>Jiangsu</v>
      </c>
      <c r="I261" s="33" t="str">
        <f>VLOOKUP(C261,Sheet1!C:D,2,0)</f>
        <v>Lianyungang</v>
      </c>
      <c r="J261" s="50" t="s">
        <v>327</v>
      </c>
      <c r="K261" s="52" t="s">
        <v>50</v>
      </c>
      <c r="L261" s="52" t="str">
        <f>H261&amp;I261&amp;J261&amp;K261</f>
        <v>JiangsuLianyungang40’HQDRY - SOC</v>
      </c>
      <c r="M261" s="53"/>
      <c r="N261" s="53"/>
      <c r="O261" s="59"/>
    </row>
    <row r="262" spans="2:15" ht="13.9" x14ac:dyDescent="0.35">
      <c r="B262" s="63" t="s">
        <v>216</v>
      </c>
      <c r="C262" s="63" t="s">
        <v>226</v>
      </c>
      <c r="D262" s="52" t="s">
        <v>4</v>
      </c>
      <c r="E262" s="52" t="s">
        <v>34</v>
      </c>
      <c r="F262" s="53">
        <v>2</v>
      </c>
      <c r="G262" s="53">
        <v>2100</v>
      </c>
      <c r="H262" s="33" t="str">
        <f>VLOOKUP(B262,Sheet1!A:B,2,0)</f>
        <v>Jiangxi</v>
      </c>
      <c r="I262" s="33" t="str">
        <f>VLOOKUP(C262,Sheet1!C:D,2,0)</f>
        <v>Nanchang</v>
      </c>
      <c r="J262" s="52" t="s">
        <v>4</v>
      </c>
      <c r="K262" s="52" t="s">
        <v>35</v>
      </c>
      <c r="L262" s="52" t="s">
        <v>348</v>
      </c>
      <c r="M262" s="53"/>
      <c r="N262" s="53"/>
      <c r="O262" s="59"/>
    </row>
    <row r="263" spans="2:15" ht="13.9" x14ac:dyDescent="0.35">
      <c r="B263" s="63" t="s">
        <v>216</v>
      </c>
      <c r="C263" s="63" t="s">
        <v>226</v>
      </c>
      <c r="D263" s="52" t="s">
        <v>5</v>
      </c>
      <c r="E263" s="52" t="s">
        <v>34</v>
      </c>
      <c r="F263" s="53">
        <v>2</v>
      </c>
      <c r="G263" s="53">
        <v>4680</v>
      </c>
      <c r="H263" s="33" t="str">
        <f>VLOOKUP(B263,Sheet1!A:B,2,0)</f>
        <v>Jiangxi</v>
      </c>
      <c r="I263" s="33" t="str">
        <f>VLOOKUP(C263,Sheet1!C:D,2,0)</f>
        <v>Nanchang</v>
      </c>
      <c r="J263" s="52" t="s">
        <v>5</v>
      </c>
      <c r="K263" s="52" t="s">
        <v>35</v>
      </c>
      <c r="L263" s="52" t="s">
        <v>349</v>
      </c>
      <c r="M263" s="53"/>
      <c r="N263" s="53"/>
      <c r="O263" s="59"/>
    </row>
    <row r="264" spans="2:15" ht="13.9" x14ac:dyDescent="0.35">
      <c r="B264" s="63" t="s">
        <v>216</v>
      </c>
      <c r="C264" s="63" t="s">
        <v>226</v>
      </c>
      <c r="D264" s="52" t="s">
        <v>6</v>
      </c>
      <c r="E264" s="52" t="s">
        <v>34</v>
      </c>
      <c r="F264" s="53">
        <v>2</v>
      </c>
      <c r="G264" s="53">
        <v>3480</v>
      </c>
      <c r="H264" s="33" t="str">
        <f>VLOOKUP(B264,Sheet1!A:B,2,0)</f>
        <v>Jiangxi</v>
      </c>
      <c r="I264" s="33" t="str">
        <f>VLOOKUP(C264,Sheet1!C:D,2,0)</f>
        <v>Nanchang</v>
      </c>
      <c r="J264" s="52" t="s">
        <v>6</v>
      </c>
      <c r="K264" s="52" t="s">
        <v>35</v>
      </c>
      <c r="L264" s="52" t="s">
        <v>350</v>
      </c>
      <c r="M264" s="53"/>
      <c r="N264" s="53"/>
      <c r="O264" s="59"/>
    </row>
    <row r="265" spans="2:15" ht="13.9" x14ac:dyDescent="0.35">
      <c r="B265" s="63" t="s">
        <v>216</v>
      </c>
      <c r="C265" s="63" t="s">
        <v>226</v>
      </c>
      <c r="D265" s="52" t="s">
        <v>7</v>
      </c>
      <c r="E265" s="52" t="s">
        <v>34</v>
      </c>
      <c r="F265" s="53">
        <v>2</v>
      </c>
      <c r="G265" s="53">
        <v>3480</v>
      </c>
      <c r="H265" s="33" t="str">
        <f>VLOOKUP(B265,Sheet1!A:B,2,0)</f>
        <v>Jiangxi</v>
      </c>
      <c r="I265" s="33" t="str">
        <f>VLOOKUP(C265,Sheet1!C:D,2,0)</f>
        <v>Nanchang</v>
      </c>
      <c r="J265" s="52" t="s">
        <v>7</v>
      </c>
      <c r="K265" s="52" t="s">
        <v>35</v>
      </c>
      <c r="L265" s="52" t="s">
        <v>351</v>
      </c>
      <c r="M265" s="53"/>
      <c r="N265" s="53"/>
      <c r="O265" s="59"/>
    </row>
    <row r="266" spans="2:15" ht="13.9" x14ac:dyDescent="0.35">
      <c r="B266" s="63" t="s">
        <v>216</v>
      </c>
      <c r="C266" s="63" t="s">
        <v>226</v>
      </c>
      <c r="D266" s="52" t="s">
        <v>8</v>
      </c>
      <c r="E266" s="52" t="s">
        <v>34</v>
      </c>
      <c r="F266" s="53">
        <v>2</v>
      </c>
      <c r="G266" s="53">
        <v>3480</v>
      </c>
      <c r="H266" s="33" t="str">
        <f>VLOOKUP(B266,Sheet1!A:B,2,0)</f>
        <v>Jiangxi</v>
      </c>
      <c r="I266" s="33" t="str">
        <f>VLOOKUP(C266,Sheet1!C:D,2,0)</f>
        <v>Nanchang</v>
      </c>
      <c r="J266" s="52" t="s">
        <v>8</v>
      </c>
      <c r="K266" s="52" t="s">
        <v>35</v>
      </c>
      <c r="L266" s="52" t="s">
        <v>352</v>
      </c>
      <c r="M266" s="53"/>
      <c r="N266" s="53"/>
      <c r="O266" s="59"/>
    </row>
    <row r="267" spans="2:15" ht="13.9" x14ac:dyDescent="0.35">
      <c r="B267" s="63" t="s">
        <v>216</v>
      </c>
      <c r="C267" s="63" t="s">
        <v>226</v>
      </c>
      <c r="D267" s="52" t="s">
        <v>9</v>
      </c>
      <c r="E267" s="52" t="s">
        <v>34</v>
      </c>
      <c r="F267" s="53">
        <v>2</v>
      </c>
      <c r="G267" s="53">
        <v>5760</v>
      </c>
      <c r="H267" s="33" t="str">
        <f>VLOOKUP(B267,Sheet1!A:B,2,0)</f>
        <v>Jiangxi</v>
      </c>
      <c r="I267" s="33" t="str">
        <f>VLOOKUP(C267,Sheet1!C:D,2,0)</f>
        <v>Nanchang</v>
      </c>
      <c r="J267" s="52" t="s">
        <v>9</v>
      </c>
      <c r="K267" s="52" t="s">
        <v>35</v>
      </c>
      <c r="L267" s="52" t="s">
        <v>353</v>
      </c>
      <c r="M267" s="53"/>
      <c r="N267" s="53"/>
      <c r="O267" s="59"/>
    </row>
    <row r="268" spans="2:15" ht="13.9" x14ac:dyDescent="0.35">
      <c r="B268" s="63" t="s">
        <v>216</v>
      </c>
      <c r="C268" s="63" t="s">
        <v>226</v>
      </c>
      <c r="D268" s="52" t="s">
        <v>10</v>
      </c>
      <c r="E268" s="52" t="s">
        <v>34</v>
      </c>
      <c r="F268" s="53">
        <v>2</v>
      </c>
      <c r="G268" s="53">
        <v>6240</v>
      </c>
      <c r="H268" s="33" t="str">
        <f>VLOOKUP(B268,Sheet1!A:B,2,0)</f>
        <v>Jiangxi</v>
      </c>
      <c r="I268" s="33" t="str">
        <f>VLOOKUP(C268,Sheet1!C:D,2,0)</f>
        <v>Nanchang</v>
      </c>
      <c r="J268" s="52" t="s">
        <v>10</v>
      </c>
      <c r="K268" s="52" t="s">
        <v>35</v>
      </c>
      <c r="L268" s="52" t="s">
        <v>354</v>
      </c>
      <c r="M268" s="53"/>
      <c r="N268" s="53"/>
      <c r="O268" s="59"/>
    </row>
    <row r="269" spans="2:15" ht="13.9" x14ac:dyDescent="0.35">
      <c r="B269" s="63" t="s">
        <v>216</v>
      </c>
      <c r="C269" s="63" t="s">
        <v>226</v>
      </c>
      <c r="D269" s="52" t="s">
        <v>11</v>
      </c>
      <c r="E269" s="52" t="s">
        <v>34</v>
      </c>
      <c r="F269" s="53">
        <v>2</v>
      </c>
      <c r="G269" s="53">
        <v>6600</v>
      </c>
      <c r="H269" s="33" t="str">
        <f>VLOOKUP(B269,Sheet1!A:B,2,0)</f>
        <v>Jiangxi</v>
      </c>
      <c r="I269" s="33" t="str">
        <f>VLOOKUP(C269,Sheet1!C:D,2,0)</f>
        <v>Nanchang</v>
      </c>
      <c r="J269" s="52" t="s">
        <v>11</v>
      </c>
      <c r="K269" s="52" t="s">
        <v>35</v>
      </c>
      <c r="L269" s="52" t="s">
        <v>355</v>
      </c>
      <c r="M269" s="53"/>
      <c r="N269" s="53"/>
      <c r="O269" s="59"/>
    </row>
    <row r="270" spans="2:15" ht="13.9" x14ac:dyDescent="0.35">
      <c r="B270" s="63" t="s">
        <v>216</v>
      </c>
      <c r="C270" s="63" t="s">
        <v>226</v>
      </c>
      <c r="D270" s="52" t="s">
        <v>258</v>
      </c>
      <c r="E270" s="52" t="s">
        <v>48</v>
      </c>
      <c r="F270" s="53">
        <v>2</v>
      </c>
      <c r="G270" s="53">
        <v>3600</v>
      </c>
      <c r="H270" s="33" t="str">
        <f>VLOOKUP(B270,Sheet1!A:B,2,0)</f>
        <v>Jiangxi</v>
      </c>
      <c r="I270" s="33" t="str">
        <f>VLOOKUP(C270,Sheet1!C:D,2,0)</f>
        <v>Nanchang</v>
      </c>
      <c r="J270" s="52" t="s">
        <v>258</v>
      </c>
      <c r="K270" s="52" t="s">
        <v>50</v>
      </c>
      <c r="L270" s="52" t="s">
        <v>356</v>
      </c>
      <c r="M270" s="53"/>
      <c r="N270" s="53"/>
      <c r="O270" s="59"/>
    </row>
    <row r="271" spans="2:15" ht="13.9" x14ac:dyDescent="0.35">
      <c r="B271" s="63" t="s">
        <v>216</v>
      </c>
      <c r="C271" s="63" t="s">
        <v>226</v>
      </c>
      <c r="D271" s="52" t="s">
        <v>326</v>
      </c>
      <c r="E271" s="52" t="s">
        <v>48</v>
      </c>
      <c r="F271" s="53">
        <v>2</v>
      </c>
      <c r="G271" s="53">
        <v>6600</v>
      </c>
      <c r="H271" s="33" t="str">
        <f>VLOOKUP(B271,Sheet1!A:B,2,0)</f>
        <v>Jiangxi</v>
      </c>
      <c r="I271" s="33" t="str">
        <f>VLOOKUP(C271,Sheet1!C:D,2,0)</f>
        <v>Nanchang</v>
      </c>
      <c r="J271" s="50" t="s">
        <v>327</v>
      </c>
      <c r="K271" s="52" t="s">
        <v>50</v>
      </c>
      <c r="L271" s="52" t="str">
        <f>H271&amp;I271&amp;J271&amp;K271</f>
        <v>JiangxiNanchang40’HQDRY - SOC</v>
      </c>
      <c r="M271" s="53"/>
      <c r="N271" s="53"/>
      <c r="O271" s="59"/>
    </row>
    <row r="272" spans="2:15" ht="13.9" x14ac:dyDescent="0.35">
      <c r="B272" s="63" t="s">
        <v>259</v>
      </c>
      <c r="C272" s="63" t="s">
        <v>267</v>
      </c>
      <c r="D272" s="52" t="s">
        <v>6</v>
      </c>
      <c r="E272" s="52" t="s">
        <v>34</v>
      </c>
      <c r="F272" s="53">
        <v>2</v>
      </c>
      <c r="G272" s="53">
        <v>1380</v>
      </c>
      <c r="H272" s="33" t="str">
        <f>VLOOKUP(B272,Sheet1!A:B,2,0)</f>
        <v>Zhejiang</v>
      </c>
      <c r="I272" s="33" t="str">
        <f>VLOOKUP(C272,Sheet1!C:D,2,0)</f>
        <v>Ningbo</v>
      </c>
      <c r="J272" s="52" t="s">
        <v>6</v>
      </c>
      <c r="K272" s="52" t="s">
        <v>35</v>
      </c>
      <c r="L272" s="52" t="s">
        <v>357</v>
      </c>
      <c r="M272" s="53"/>
      <c r="N272" s="53"/>
      <c r="O272" s="59"/>
    </row>
    <row r="273" spans="2:15" ht="13.9" x14ac:dyDescent="0.35">
      <c r="B273" s="63" t="s">
        <v>259</v>
      </c>
      <c r="C273" s="63" t="s">
        <v>267</v>
      </c>
      <c r="D273" s="52" t="s">
        <v>7</v>
      </c>
      <c r="E273" s="52" t="s">
        <v>34</v>
      </c>
      <c r="F273" s="53">
        <v>2</v>
      </c>
      <c r="G273" s="53">
        <v>1620</v>
      </c>
      <c r="H273" s="33" t="str">
        <f>VLOOKUP(B273,Sheet1!A:B,2,0)</f>
        <v>Zhejiang</v>
      </c>
      <c r="I273" s="33" t="str">
        <f>VLOOKUP(C273,Sheet1!C:D,2,0)</f>
        <v>Ningbo</v>
      </c>
      <c r="J273" s="52" t="s">
        <v>7</v>
      </c>
      <c r="K273" s="52" t="s">
        <v>35</v>
      </c>
      <c r="L273" s="52" t="s">
        <v>358</v>
      </c>
      <c r="M273" s="53"/>
      <c r="N273" s="53"/>
      <c r="O273" s="59"/>
    </row>
    <row r="274" spans="2:15" ht="13.9" x14ac:dyDescent="0.35">
      <c r="B274" s="63" t="s">
        <v>259</v>
      </c>
      <c r="C274" s="63" t="s">
        <v>267</v>
      </c>
      <c r="D274" s="52" t="s">
        <v>9</v>
      </c>
      <c r="E274" s="52" t="s">
        <v>34</v>
      </c>
      <c r="F274" s="53">
        <v>2</v>
      </c>
      <c r="G274" s="53">
        <v>2040</v>
      </c>
      <c r="H274" s="33" t="str">
        <f>VLOOKUP(B274,Sheet1!A:B,2,0)</f>
        <v>Zhejiang</v>
      </c>
      <c r="I274" s="33" t="str">
        <f>VLOOKUP(C274,Sheet1!C:D,2,0)</f>
        <v>Ningbo</v>
      </c>
      <c r="J274" s="52" t="s">
        <v>9</v>
      </c>
      <c r="K274" s="52" t="s">
        <v>35</v>
      </c>
      <c r="L274" s="52" t="s">
        <v>359</v>
      </c>
      <c r="M274" s="53"/>
      <c r="N274" s="53"/>
      <c r="O274" s="59"/>
    </row>
    <row r="275" spans="2:15" ht="13.9" x14ac:dyDescent="0.35">
      <c r="B275" s="63" t="s">
        <v>259</v>
      </c>
      <c r="C275" s="63" t="s">
        <v>267</v>
      </c>
      <c r="D275" s="52" t="s">
        <v>10</v>
      </c>
      <c r="E275" s="52" t="s">
        <v>34</v>
      </c>
      <c r="F275" s="53">
        <v>2</v>
      </c>
      <c r="G275" s="53">
        <v>2460</v>
      </c>
      <c r="H275" s="33" t="str">
        <f>VLOOKUP(B275,Sheet1!A:B,2,0)</f>
        <v>Zhejiang</v>
      </c>
      <c r="I275" s="33" t="str">
        <f>VLOOKUP(C275,Sheet1!C:D,2,0)</f>
        <v>Ningbo</v>
      </c>
      <c r="J275" s="52" t="s">
        <v>10</v>
      </c>
      <c r="K275" s="52" t="s">
        <v>35</v>
      </c>
      <c r="L275" s="52" t="s">
        <v>360</v>
      </c>
      <c r="M275" s="53"/>
      <c r="N275" s="53"/>
      <c r="O275" s="59"/>
    </row>
    <row r="276" spans="2:15" ht="13.9" x14ac:dyDescent="0.35">
      <c r="B276" s="63" t="s">
        <v>259</v>
      </c>
      <c r="C276" s="63" t="s">
        <v>267</v>
      </c>
      <c r="D276" s="52" t="s">
        <v>11</v>
      </c>
      <c r="E276" s="52" t="s">
        <v>34</v>
      </c>
      <c r="F276" s="53">
        <v>2</v>
      </c>
      <c r="G276" s="53">
        <v>2580</v>
      </c>
      <c r="H276" s="33" t="str">
        <f>VLOOKUP(B276,Sheet1!A:B,2,0)</f>
        <v>Zhejiang</v>
      </c>
      <c r="I276" s="33" t="str">
        <f>VLOOKUP(C276,Sheet1!C:D,2,0)</f>
        <v>Ningbo</v>
      </c>
      <c r="J276" s="52" t="s">
        <v>11</v>
      </c>
      <c r="K276" s="52" t="s">
        <v>35</v>
      </c>
      <c r="L276" s="52" t="s">
        <v>361</v>
      </c>
      <c r="M276" s="53"/>
      <c r="N276" s="53"/>
      <c r="O276" s="59"/>
    </row>
    <row r="277" spans="2:15" ht="13.9" x14ac:dyDescent="0.35">
      <c r="B277" s="63" t="s">
        <v>259</v>
      </c>
      <c r="C277" s="63" t="s">
        <v>267</v>
      </c>
      <c r="D277" s="52" t="s">
        <v>258</v>
      </c>
      <c r="E277" s="52" t="s">
        <v>48</v>
      </c>
      <c r="F277" s="53">
        <v>2</v>
      </c>
      <c r="G277" s="53">
        <v>1740</v>
      </c>
      <c r="H277" s="33" t="str">
        <f>VLOOKUP(B277,Sheet1!A:B,2,0)</f>
        <v>Zhejiang</v>
      </c>
      <c r="I277" s="33" t="str">
        <f>VLOOKUP(C277,Sheet1!C:D,2,0)</f>
        <v>Ningbo</v>
      </c>
      <c r="J277" s="52" t="s">
        <v>258</v>
      </c>
      <c r="K277" s="52" t="s">
        <v>50</v>
      </c>
      <c r="L277" s="52" t="s">
        <v>362</v>
      </c>
      <c r="M277" s="53"/>
      <c r="N277" s="53"/>
      <c r="O277" s="59"/>
    </row>
    <row r="278" spans="2:15" ht="13.9" x14ac:dyDescent="0.35">
      <c r="B278" s="63" t="s">
        <v>259</v>
      </c>
      <c r="C278" s="63" t="s">
        <v>267</v>
      </c>
      <c r="D278" s="52" t="s">
        <v>326</v>
      </c>
      <c r="E278" s="52" t="s">
        <v>48</v>
      </c>
      <c r="F278" s="53">
        <v>2</v>
      </c>
      <c r="G278" s="53">
        <v>2580</v>
      </c>
      <c r="H278" s="33" t="str">
        <f>VLOOKUP(B278,Sheet1!A:B,2,0)</f>
        <v>Zhejiang</v>
      </c>
      <c r="I278" s="33" t="str">
        <f>VLOOKUP(C278,Sheet1!C:D,2,0)</f>
        <v>Ningbo</v>
      </c>
      <c r="J278" s="50" t="s">
        <v>49</v>
      </c>
      <c r="K278" s="52" t="s">
        <v>50</v>
      </c>
      <c r="L278" s="52" t="s">
        <v>363</v>
      </c>
      <c r="M278" s="53"/>
      <c r="N278" s="53"/>
      <c r="O278" s="59"/>
    </row>
    <row r="279" spans="2:15" ht="13.9" x14ac:dyDescent="0.35">
      <c r="B279" s="63" t="s">
        <v>259</v>
      </c>
      <c r="C279" s="63" t="s">
        <v>271</v>
      </c>
      <c r="D279" s="52" t="s">
        <v>7</v>
      </c>
      <c r="E279" s="52" t="s">
        <v>34</v>
      </c>
      <c r="F279" s="53">
        <v>2</v>
      </c>
      <c r="G279" s="53">
        <v>1080</v>
      </c>
      <c r="H279" s="33" t="str">
        <f>VLOOKUP(B279,Sheet1!A:B,2,0)</f>
        <v>Zhejiang</v>
      </c>
      <c r="I279" s="33" t="str">
        <f>VLOOKUP(C279,Sheet1!C:D,2,0)</f>
        <v>Pinghu</v>
      </c>
      <c r="J279" s="52" t="s">
        <v>7</v>
      </c>
      <c r="K279" s="52" t="s">
        <v>35</v>
      </c>
      <c r="L279" s="52" t="s">
        <v>364</v>
      </c>
      <c r="M279" s="53"/>
      <c r="N279" s="53"/>
      <c r="O279" s="59"/>
    </row>
    <row r="280" spans="2:15" ht="13.9" x14ac:dyDescent="0.35">
      <c r="B280" s="63" t="s">
        <v>259</v>
      </c>
      <c r="C280" s="63" t="s">
        <v>271</v>
      </c>
      <c r="D280" s="52" t="s">
        <v>8</v>
      </c>
      <c r="E280" s="52" t="s">
        <v>34</v>
      </c>
      <c r="F280" s="53">
        <v>2</v>
      </c>
      <c r="G280" s="53">
        <v>1080</v>
      </c>
      <c r="H280" s="33" t="str">
        <f>VLOOKUP(B280,Sheet1!A:B,2,0)</f>
        <v>Zhejiang</v>
      </c>
      <c r="I280" s="33" t="str">
        <f>VLOOKUP(C280,Sheet1!C:D,2,0)</f>
        <v>Pinghu</v>
      </c>
      <c r="J280" s="52" t="s">
        <v>8</v>
      </c>
      <c r="K280" s="52" t="s">
        <v>35</v>
      </c>
      <c r="L280" s="52" t="s">
        <v>365</v>
      </c>
      <c r="M280" s="53"/>
      <c r="N280" s="53"/>
      <c r="O280" s="59"/>
    </row>
    <row r="281" spans="2:15" ht="13.9" x14ac:dyDescent="0.35">
      <c r="B281" s="63" t="s">
        <v>259</v>
      </c>
      <c r="C281" s="63" t="s">
        <v>271</v>
      </c>
      <c r="D281" s="52" t="s">
        <v>9</v>
      </c>
      <c r="E281" s="52" t="s">
        <v>34</v>
      </c>
      <c r="F281" s="53">
        <v>2</v>
      </c>
      <c r="G281" s="53">
        <v>1620</v>
      </c>
      <c r="H281" s="33" t="str">
        <f>VLOOKUP(B281,Sheet1!A:B,2,0)</f>
        <v>Zhejiang</v>
      </c>
      <c r="I281" s="33" t="str">
        <f>VLOOKUP(C281,Sheet1!C:D,2,0)</f>
        <v>Pinghu</v>
      </c>
      <c r="J281" s="52" t="s">
        <v>9</v>
      </c>
      <c r="K281" s="52" t="s">
        <v>35</v>
      </c>
      <c r="L281" s="52" t="s">
        <v>366</v>
      </c>
      <c r="M281" s="53"/>
      <c r="N281" s="53"/>
      <c r="O281" s="59"/>
    </row>
    <row r="282" spans="2:15" ht="13.9" x14ac:dyDescent="0.35">
      <c r="B282" s="63" t="s">
        <v>259</v>
      </c>
      <c r="C282" s="63" t="s">
        <v>271</v>
      </c>
      <c r="D282" s="52" t="s">
        <v>11</v>
      </c>
      <c r="E282" s="52" t="s">
        <v>34</v>
      </c>
      <c r="F282" s="53">
        <v>2</v>
      </c>
      <c r="G282" s="53">
        <v>1860</v>
      </c>
      <c r="H282" s="33" t="str">
        <f>VLOOKUP(B282,Sheet1!A:B,2,0)</f>
        <v>Zhejiang</v>
      </c>
      <c r="I282" s="33" t="str">
        <f>VLOOKUP(C282,Sheet1!C:D,2,0)</f>
        <v>Pinghu</v>
      </c>
      <c r="J282" s="52" t="s">
        <v>11</v>
      </c>
      <c r="K282" s="52" t="s">
        <v>35</v>
      </c>
      <c r="L282" s="52" t="s">
        <v>367</v>
      </c>
      <c r="M282" s="53"/>
      <c r="N282" s="53"/>
      <c r="O282" s="59"/>
    </row>
    <row r="283" spans="2:15" ht="13.9" x14ac:dyDescent="0.35">
      <c r="B283" s="63" t="s">
        <v>259</v>
      </c>
      <c r="C283" s="63" t="s">
        <v>271</v>
      </c>
      <c r="D283" s="52" t="s">
        <v>258</v>
      </c>
      <c r="E283" s="52" t="s">
        <v>48</v>
      </c>
      <c r="F283" s="53">
        <v>2</v>
      </c>
      <c r="G283" s="53">
        <v>1260</v>
      </c>
      <c r="H283" s="33" t="str">
        <f>VLOOKUP(B283,Sheet1!A:B,2,0)</f>
        <v>Zhejiang</v>
      </c>
      <c r="I283" s="33" t="str">
        <f>VLOOKUP(C283,Sheet1!C:D,2,0)</f>
        <v>Pinghu</v>
      </c>
      <c r="J283" s="52" t="s">
        <v>258</v>
      </c>
      <c r="K283" s="52" t="s">
        <v>50</v>
      </c>
      <c r="L283" s="52" t="s">
        <v>368</v>
      </c>
      <c r="M283" s="53"/>
      <c r="N283" s="53"/>
      <c r="O283" s="59"/>
    </row>
    <row r="284" spans="2:15" ht="13.9" x14ac:dyDescent="0.35">
      <c r="B284" s="63" t="s">
        <v>259</v>
      </c>
      <c r="C284" s="63" t="s">
        <v>271</v>
      </c>
      <c r="D284" s="52" t="s">
        <v>326</v>
      </c>
      <c r="E284" s="52" t="s">
        <v>48</v>
      </c>
      <c r="F284" s="53">
        <v>2</v>
      </c>
      <c r="G284" s="53">
        <v>1860</v>
      </c>
      <c r="H284" s="33" t="str">
        <f>VLOOKUP(B284,Sheet1!A:B,2,0)</f>
        <v>Zhejiang</v>
      </c>
      <c r="I284" s="33" t="str">
        <f>VLOOKUP(C284,Sheet1!C:D,2,0)</f>
        <v>Pinghu</v>
      </c>
      <c r="J284" s="50" t="s">
        <v>49</v>
      </c>
      <c r="K284" s="52" t="s">
        <v>50</v>
      </c>
      <c r="L284" s="52" t="s">
        <v>369</v>
      </c>
      <c r="M284" s="53"/>
      <c r="N284" s="53"/>
      <c r="O284" s="59"/>
    </row>
    <row r="285" spans="2:15" ht="13.9" x14ac:dyDescent="0.35">
      <c r="B285" s="50" t="s">
        <v>154</v>
      </c>
      <c r="C285" s="51" t="s">
        <v>158</v>
      </c>
      <c r="D285" s="62" t="s">
        <v>258</v>
      </c>
      <c r="E285" s="52" t="s">
        <v>48</v>
      </c>
      <c r="F285" s="53">
        <v>4</v>
      </c>
      <c r="G285" s="53">
        <v>7800</v>
      </c>
      <c r="H285" s="33" t="str">
        <f>VLOOKUP(B285,Sheet1!A:B,2,0)</f>
        <v>Guangxi</v>
      </c>
      <c r="I285" s="33" t="str">
        <f>VLOOKUP(C285,Sheet1!C:D,2,0)</f>
        <v>Pubei</v>
      </c>
      <c r="J285" s="62" t="s">
        <v>258</v>
      </c>
      <c r="K285" s="52" t="s">
        <v>50</v>
      </c>
      <c r="L285" s="52" t="s">
        <v>370</v>
      </c>
      <c r="M285" s="53"/>
      <c r="N285" s="53"/>
      <c r="O285" s="59"/>
    </row>
    <row r="286" spans="2:15" ht="13.9" x14ac:dyDescent="0.35">
      <c r="B286" s="50" t="s">
        <v>154</v>
      </c>
      <c r="C286" s="51" t="s">
        <v>158</v>
      </c>
      <c r="D286" s="62" t="s">
        <v>4</v>
      </c>
      <c r="E286" s="52" t="s">
        <v>34</v>
      </c>
      <c r="F286" s="53">
        <v>4</v>
      </c>
      <c r="G286" s="53">
        <v>4440</v>
      </c>
      <c r="H286" s="33" t="str">
        <f>VLOOKUP(B286,Sheet1!A:B,2,0)</f>
        <v>Guangxi</v>
      </c>
      <c r="I286" s="33" t="str">
        <f>VLOOKUP(C286,Sheet1!C:D,2,0)</f>
        <v>Pubei</v>
      </c>
      <c r="J286" s="62" t="s">
        <v>4</v>
      </c>
      <c r="K286" s="52" t="s">
        <v>35</v>
      </c>
      <c r="L286" s="52" t="s">
        <v>371</v>
      </c>
      <c r="M286" s="53"/>
      <c r="N286" s="53"/>
      <c r="O286" s="59"/>
    </row>
    <row r="287" spans="2:15" ht="13.9" x14ac:dyDescent="0.35">
      <c r="B287" s="50" t="s">
        <v>154</v>
      </c>
      <c r="C287" s="51" t="s">
        <v>158</v>
      </c>
      <c r="D287" s="62" t="s">
        <v>5</v>
      </c>
      <c r="E287" s="52" t="s">
        <v>34</v>
      </c>
      <c r="F287" s="53">
        <v>4</v>
      </c>
      <c r="G287" s="53">
        <v>6000</v>
      </c>
      <c r="H287" s="33" t="str">
        <f>VLOOKUP(B287,Sheet1!A:B,2,0)</f>
        <v>Guangxi</v>
      </c>
      <c r="I287" s="33" t="str">
        <f>VLOOKUP(C287,Sheet1!C:D,2,0)</f>
        <v>Pubei</v>
      </c>
      <c r="J287" s="62" t="s">
        <v>5</v>
      </c>
      <c r="K287" s="52" t="s">
        <v>35</v>
      </c>
      <c r="L287" s="52" t="s">
        <v>372</v>
      </c>
      <c r="M287" s="53"/>
      <c r="N287" s="53"/>
      <c r="O287" s="59"/>
    </row>
    <row r="288" spans="2:15" ht="13.9" x14ac:dyDescent="0.35">
      <c r="B288" s="50" t="s">
        <v>154</v>
      </c>
      <c r="C288" s="51" t="s">
        <v>158</v>
      </c>
      <c r="D288" s="62" t="s">
        <v>6</v>
      </c>
      <c r="E288" s="52" t="s">
        <v>34</v>
      </c>
      <c r="F288" s="53">
        <v>4</v>
      </c>
      <c r="G288" s="53">
        <v>7140</v>
      </c>
      <c r="H288" s="33" t="str">
        <f>VLOOKUP(B288,Sheet1!A:B,2,0)</f>
        <v>Guangxi</v>
      </c>
      <c r="I288" s="33" t="str">
        <f>VLOOKUP(C288,Sheet1!C:D,2,0)</f>
        <v>Pubei</v>
      </c>
      <c r="J288" s="62" t="s">
        <v>6</v>
      </c>
      <c r="K288" s="52" t="s">
        <v>35</v>
      </c>
      <c r="L288" s="52" t="s">
        <v>373</v>
      </c>
      <c r="M288" s="53"/>
      <c r="N288" s="53"/>
      <c r="O288" s="59"/>
    </row>
    <row r="289" spans="2:15" ht="13.9" x14ac:dyDescent="0.35">
      <c r="B289" s="50" t="s">
        <v>154</v>
      </c>
      <c r="C289" s="51" t="s">
        <v>158</v>
      </c>
      <c r="D289" s="62" t="s">
        <v>10</v>
      </c>
      <c r="E289" s="52" t="s">
        <v>34</v>
      </c>
      <c r="F289" s="53">
        <v>4</v>
      </c>
      <c r="G289" s="53">
        <v>10800</v>
      </c>
      <c r="H289" s="33" t="str">
        <f>VLOOKUP(B289,Sheet1!A:B,2,0)</f>
        <v>Guangxi</v>
      </c>
      <c r="I289" s="33" t="str">
        <f>VLOOKUP(C289,Sheet1!C:D,2,0)</f>
        <v>Pubei</v>
      </c>
      <c r="J289" s="62" t="s">
        <v>10</v>
      </c>
      <c r="K289" s="52" t="s">
        <v>35</v>
      </c>
      <c r="L289" s="52" t="s">
        <v>374</v>
      </c>
      <c r="M289" s="53"/>
      <c r="N289" s="53"/>
      <c r="O289" s="59"/>
    </row>
    <row r="290" spans="2:15" ht="13.9" x14ac:dyDescent="0.35">
      <c r="B290" s="63" t="s">
        <v>229</v>
      </c>
      <c r="C290" s="63" t="s">
        <v>230</v>
      </c>
      <c r="D290" s="52" t="s">
        <v>9</v>
      </c>
      <c r="E290" s="52" t="s">
        <v>34</v>
      </c>
      <c r="F290" s="53">
        <v>2</v>
      </c>
      <c r="G290" s="53">
        <v>6600</v>
      </c>
      <c r="H290" s="33" t="str">
        <f>VLOOKUP(B290,Sheet1!A:B,2,0)</f>
        <v>Shandong</v>
      </c>
      <c r="I290" s="33" t="str">
        <f>VLOOKUP(C290,Sheet1!C:D,2,0)</f>
        <v>Qingdao</v>
      </c>
      <c r="J290" s="52" t="s">
        <v>9</v>
      </c>
      <c r="K290" s="52" t="s">
        <v>35</v>
      </c>
      <c r="L290" s="52" t="s">
        <v>375</v>
      </c>
      <c r="M290" s="53"/>
      <c r="N290" s="53"/>
      <c r="O290" s="59"/>
    </row>
    <row r="291" spans="2:15" ht="13.9" x14ac:dyDescent="0.35">
      <c r="B291" s="63" t="s">
        <v>229</v>
      </c>
      <c r="C291" s="63" t="s">
        <v>230</v>
      </c>
      <c r="D291" s="52" t="s">
        <v>10</v>
      </c>
      <c r="E291" s="52" t="s">
        <v>34</v>
      </c>
      <c r="F291" s="53">
        <v>2</v>
      </c>
      <c r="G291" s="53">
        <v>7440</v>
      </c>
      <c r="H291" s="33" t="str">
        <f>VLOOKUP(B291,Sheet1!A:B,2,0)</f>
        <v>Shandong</v>
      </c>
      <c r="I291" s="33" t="str">
        <f>VLOOKUP(C291,Sheet1!C:D,2,0)</f>
        <v>Qingdao</v>
      </c>
      <c r="J291" s="52" t="s">
        <v>10</v>
      </c>
      <c r="K291" s="52" t="s">
        <v>35</v>
      </c>
      <c r="L291" s="52" t="s">
        <v>376</v>
      </c>
      <c r="M291" s="53"/>
      <c r="N291" s="53"/>
      <c r="O291" s="59"/>
    </row>
    <row r="292" spans="2:15" ht="13.9" x14ac:dyDescent="0.35">
      <c r="B292" s="63" t="s">
        <v>229</v>
      </c>
      <c r="C292" s="63" t="s">
        <v>230</v>
      </c>
      <c r="D292" s="52" t="s">
        <v>11</v>
      </c>
      <c r="E292" s="52" t="s">
        <v>34</v>
      </c>
      <c r="F292" s="53">
        <v>2</v>
      </c>
      <c r="G292" s="53">
        <v>7800</v>
      </c>
      <c r="H292" s="33" t="str">
        <f>VLOOKUP(B292,Sheet1!A:B,2,0)</f>
        <v>Shandong</v>
      </c>
      <c r="I292" s="33" t="str">
        <f>VLOOKUP(C292,Sheet1!C:D,2,0)</f>
        <v>Qingdao</v>
      </c>
      <c r="J292" s="52" t="s">
        <v>11</v>
      </c>
      <c r="K292" s="52" t="s">
        <v>35</v>
      </c>
      <c r="L292" s="52" t="s">
        <v>377</v>
      </c>
      <c r="M292" s="53"/>
      <c r="N292" s="53"/>
      <c r="O292" s="59"/>
    </row>
    <row r="293" spans="2:15" ht="13.9" x14ac:dyDescent="0.35">
      <c r="B293" s="63" t="s">
        <v>229</v>
      </c>
      <c r="C293" s="63" t="s">
        <v>230</v>
      </c>
      <c r="D293" s="52" t="s">
        <v>258</v>
      </c>
      <c r="E293" s="52" t="s">
        <v>48</v>
      </c>
      <c r="F293" s="53">
        <v>2</v>
      </c>
      <c r="G293" s="53">
        <v>4800</v>
      </c>
      <c r="H293" s="33" t="str">
        <f>VLOOKUP(B293,Sheet1!A:B,2,0)</f>
        <v>Shandong</v>
      </c>
      <c r="I293" s="33" t="str">
        <f>VLOOKUP(C293,Sheet1!C:D,2,0)</f>
        <v>Qingdao</v>
      </c>
      <c r="J293" s="52" t="s">
        <v>258</v>
      </c>
      <c r="K293" s="52" t="s">
        <v>50</v>
      </c>
      <c r="L293" s="52" t="s">
        <v>378</v>
      </c>
      <c r="M293" s="53"/>
      <c r="N293" s="53"/>
      <c r="O293" s="59"/>
    </row>
    <row r="294" spans="2:15" ht="13.9" x14ac:dyDescent="0.35">
      <c r="B294" s="63" t="s">
        <v>229</v>
      </c>
      <c r="C294" s="63" t="s">
        <v>230</v>
      </c>
      <c r="D294" s="52" t="s">
        <v>326</v>
      </c>
      <c r="E294" s="52" t="s">
        <v>48</v>
      </c>
      <c r="F294" s="53">
        <v>2</v>
      </c>
      <c r="G294" s="53">
        <v>7440</v>
      </c>
      <c r="H294" s="33" t="str">
        <f>VLOOKUP(B294,Sheet1!A:B,2,0)</f>
        <v>Shandong</v>
      </c>
      <c r="I294" s="33" t="str">
        <f>VLOOKUP(C294,Sheet1!C:D,2,0)</f>
        <v>Qingdao</v>
      </c>
      <c r="J294" s="50" t="s">
        <v>49</v>
      </c>
      <c r="K294" s="52" t="s">
        <v>50</v>
      </c>
      <c r="L294" s="52" t="s">
        <v>379</v>
      </c>
      <c r="M294" s="53"/>
      <c r="N294" s="53"/>
      <c r="O294" s="59"/>
    </row>
    <row r="295" spans="2:15" ht="13.9" x14ac:dyDescent="0.35">
      <c r="B295" s="50" t="s">
        <v>154</v>
      </c>
      <c r="C295" s="51" t="s">
        <v>167</v>
      </c>
      <c r="D295" s="62" t="s">
        <v>258</v>
      </c>
      <c r="E295" s="52" t="s">
        <v>48</v>
      </c>
      <c r="F295" s="53">
        <v>4</v>
      </c>
      <c r="G295" s="53">
        <v>8340</v>
      </c>
      <c r="H295" s="33" t="str">
        <f>VLOOKUP(B295,Sheet1!A:B,2,0)</f>
        <v>Guangxi</v>
      </c>
      <c r="I295" s="33" t="str">
        <f>VLOOKUP(C295,Sheet1!C:D,2,0)</f>
        <v>Qinzhou</v>
      </c>
      <c r="J295" s="62" t="s">
        <v>258</v>
      </c>
      <c r="K295" s="52" t="s">
        <v>50</v>
      </c>
      <c r="L295" s="52" t="s">
        <v>380</v>
      </c>
      <c r="M295" s="53"/>
      <c r="N295" s="53"/>
      <c r="O295" s="59"/>
    </row>
    <row r="296" spans="2:15" ht="13.9" x14ac:dyDescent="0.35">
      <c r="B296" s="50" t="s">
        <v>154</v>
      </c>
      <c r="C296" s="51" t="s">
        <v>167</v>
      </c>
      <c r="D296" s="50" t="s">
        <v>4</v>
      </c>
      <c r="E296" s="52" t="s">
        <v>34</v>
      </c>
      <c r="F296" s="53">
        <v>4</v>
      </c>
      <c r="G296" s="53">
        <v>4536</v>
      </c>
      <c r="H296" s="33" t="str">
        <f>VLOOKUP(B296,Sheet1!A:B,2,0)</f>
        <v>Guangxi</v>
      </c>
      <c r="I296" s="33" t="str">
        <f>VLOOKUP(C296,Sheet1!C:D,2,0)</f>
        <v>Qinzhou</v>
      </c>
      <c r="J296" s="50" t="s">
        <v>4</v>
      </c>
      <c r="K296" s="52" t="s">
        <v>35</v>
      </c>
      <c r="L296" s="52" t="s">
        <v>381</v>
      </c>
      <c r="M296" s="53"/>
      <c r="N296" s="53"/>
      <c r="O296" s="59"/>
    </row>
    <row r="297" spans="2:15" ht="13.9" x14ac:dyDescent="0.35">
      <c r="B297" s="50" t="s">
        <v>154</v>
      </c>
      <c r="C297" s="51" t="s">
        <v>167</v>
      </c>
      <c r="D297" s="50" t="s">
        <v>10</v>
      </c>
      <c r="E297" s="52" t="s">
        <v>34</v>
      </c>
      <c r="F297" s="53">
        <v>4</v>
      </c>
      <c r="G297" s="53">
        <v>10800</v>
      </c>
      <c r="H297" s="33" t="str">
        <f>VLOOKUP(B297,Sheet1!A:B,2,0)</f>
        <v>Guangxi</v>
      </c>
      <c r="I297" s="33" t="str">
        <f>VLOOKUP(C297,Sheet1!C:D,2,0)</f>
        <v>Qinzhou</v>
      </c>
      <c r="J297" s="50" t="s">
        <v>10</v>
      </c>
      <c r="K297" s="52" t="s">
        <v>35</v>
      </c>
      <c r="L297" s="52" t="s">
        <v>382</v>
      </c>
      <c r="M297" s="53"/>
      <c r="N297" s="53"/>
      <c r="O297" s="59"/>
    </row>
    <row r="298" spans="2:15" ht="13.9" x14ac:dyDescent="0.35">
      <c r="B298" s="50" t="s">
        <v>67</v>
      </c>
      <c r="C298" s="51" t="s">
        <v>68</v>
      </c>
      <c r="D298" s="50" t="s">
        <v>258</v>
      </c>
      <c r="E298" s="52" t="s">
        <v>48</v>
      </c>
      <c r="F298" s="53">
        <v>3</v>
      </c>
      <c r="G298" s="53">
        <v>4200</v>
      </c>
      <c r="H298" s="33" t="str">
        <f>VLOOKUP(B298,Sheet1!A:B,2,0)</f>
        <v>Fujian</v>
      </c>
      <c r="I298" s="33" t="str">
        <f>VLOOKUP(C298,Sheet1!C:D,2,0)</f>
        <v>Quanzhou</v>
      </c>
      <c r="J298" s="50" t="s">
        <v>258</v>
      </c>
      <c r="K298" s="52" t="s">
        <v>50</v>
      </c>
      <c r="L298" s="52" t="s">
        <v>383</v>
      </c>
      <c r="M298" s="53"/>
      <c r="N298" s="53"/>
      <c r="O298" s="59"/>
    </row>
    <row r="299" spans="2:15" ht="13.9" x14ac:dyDescent="0.35">
      <c r="B299" s="50" t="s">
        <v>67</v>
      </c>
      <c r="C299" s="51" t="s">
        <v>68</v>
      </c>
      <c r="D299" s="50" t="s">
        <v>4</v>
      </c>
      <c r="E299" s="52" t="s">
        <v>34</v>
      </c>
      <c r="F299" s="53">
        <v>3</v>
      </c>
      <c r="G299" s="53">
        <v>2400</v>
      </c>
      <c r="H299" s="33" t="str">
        <f>VLOOKUP(B299,Sheet1!A:B,2,0)</f>
        <v>Fujian</v>
      </c>
      <c r="I299" s="33" t="str">
        <f>VLOOKUP(C299,Sheet1!C:D,2,0)</f>
        <v>Quanzhou</v>
      </c>
      <c r="J299" s="50" t="s">
        <v>4</v>
      </c>
      <c r="K299" s="52" t="s">
        <v>35</v>
      </c>
      <c r="L299" s="52" t="s">
        <v>384</v>
      </c>
      <c r="M299" s="53"/>
      <c r="N299" s="53"/>
      <c r="O299" s="59"/>
    </row>
    <row r="300" spans="2:15" ht="13.9" x14ac:dyDescent="0.35">
      <c r="B300" s="50" t="s">
        <v>67</v>
      </c>
      <c r="C300" s="51" t="s">
        <v>68</v>
      </c>
      <c r="D300" s="50" t="s">
        <v>8</v>
      </c>
      <c r="E300" s="52" t="s">
        <v>34</v>
      </c>
      <c r="F300" s="53">
        <v>3</v>
      </c>
      <c r="G300" s="53">
        <v>4140</v>
      </c>
      <c r="H300" s="33" t="str">
        <f>VLOOKUP(B300,Sheet1!A:B,2,0)</f>
        <v>Fujian</v>
      </c>
      <c r="I300" s="33" t="str">
        <f>VLOOKUP(C300,Sheet1!C:D,2,0)</f>
        <v>Quanzhou</v>
      </c>
      <c r="J300" s="50" t="s">
        <v>8</v>
      </c>
      <c r="K300" s="52" t="s">
        <v>35</v>
      </c>
      <c r="L300" s="52" t="s">
        <v>385</v>
      </c>
      <c r="M300" s="53"/>
      <c r="N300" s="53"/>
      <c r="O300" s="59"/>
    </row>
    <row r="301" spans="2:15" ht="13.9" x14ac:dyDescent="0.35">
      <c r="B301" s="63" t="s">
        <v>243</v>
      </c>
      <c r="C301" s="63" t="s">
        <v>243</v>
      </c>
      <c r="D301" s="50" t="s">
        <v>258</v>
      </c>
      <c r="E301" s="52" t="s">
        <v>48</v>
      </c>
      <c r="F301" s="53">
        <v>1</v>
      </c>
      <c r="G301" s="53">
        <v>960</v>
      </c>
      <c r="H301" s="33" t="str">
        <f>VLOOKUP(B301,Sheet1!A:B,2,0)</f>
        <v>Shanghai</v>
      </c>
      <c r="I301" s="33" t="str">
        <f>VLOOKUP(C301,Sheet1!C:D,2,0)</f>
        <v>Shanghai</v>
      </c>
      <c r="J301" s="50" t="s">
        <v>258</v>
      </c>
      <c r="K301" s="52" t="s">
        <v>50</v>
      </c>
      <c r="L301" s="52" t="s">
        <v>386</v>
      </c>
      <c r="M301" s="53"/>
      <c r="N301" s="53"/>
      <c r="O301" s="59"/>
    </row>
    <row r="302" spans="2:15" ht="13.9" x14ac:dyDescent="0.35">
      <c r="B302" s="63" t="s">
        <v>243</v>
      </c>
      <c r="C302" s="63" t="s">
        <v>243</v>
      </c>
      <c r="D302" s="50" t="s">
        <v>8</v>
      </c>
      <c r="E302" s="52" t="s">
        <v>34</v>
      </c>
      <c r="F302" s="53">
        <v>1</v>
      </c>
      <c r="G302" s="53">
        <v>840</v>
      </c>
      <c r="H302" s="33" t="str">
        <f>VLOOKUP(B302,Sheet1!A:B,2,0)</f>
        <v>Shanghai</v>
      </c>
      <c r="I302" s="33" t="str">
        <f>VLOOKUP(C302,Sheet1!C:D,2,0)</f>
        <v>Shanghai</v>
      </c>
      <c r="J302" s="50" t="s">
        <v>8</v>
      </c>
      <c r="K302" s="52" t="s">
        <v>35</v>
      </c>
      <c r="L302" s="52" t="s">
        <v>387</v>
      </c>
      <c r="M302" s="53"/>
      <c r="N302" s="53"/>
      <c r="O302" s="59"/>
    </row>
    <row r="303" spans="2:15" ht="13.9" x14ac:dyDescent="0.35">
      <c r="B303" s="63" t="s">
        <v>243</v>
      </c>
      <c r="C303" s="63" t="s">
        <v>243</v>
      </c>
      <c r="D303" s="50" t="s">
        <v>9</v>
      </c>
      <c r="E303" s="52" t="s">
        <v>34</v>
      </c>
      <c r="F303" s="53">
        <v>1</v>
      </c>
      <c r="G303" s="53">
        <v>1260</v>
      </c>
      <c r="H303" s="33" t="str">
        <f>VLOOKUP(B303,Sheet1!A:B,2,0)</f>
        <v>Shanghai</v>
      </c>
      <c r="I303" s="33" t="str">
        <f>VLOOKUP(C303,Sheet1!C:D,2,0)</f>
        <v>Shanghai</v>
      </c>
      <c r="J303" s="50" t="s">
        <v>9</v>
      </c>
      <c r="K303" s="52" t="s">
        <v>35</v>
      </c>
      <c r="L303" s="52" t="s">
        <v>388</v>
      </c>
      <c r="M303" s="53"/>
      <c r="N303" s="53"/>
      <c r="O303" s="59"/>
    </row>
    <row r="304" spans="2:15" ht="13.9" x14ac:dyDescent="0.35">
      <c r="B304" s="63" t="s">
        <v>243</v>
      </c>
      <c r="C304" s="63" t="s">
        <v>243</v>
      </c>
      <c r="D304" s="50" t="s">
        <v>11</v>
      </c>
      <c r="E304" s="52" t="s">
        <v>34</v>
      </c>
      <c r="F304" s="53">
        <v>1</v>
      </c>
      <c r="G304" s="53">
        <v>1380</v>
      </c>
      <c r="H304" s="33" t="str">
        <f>VLOOKUP(B304,Sheet1!A:B,2,0)</f>
        <v>Shanghai</v>
      </c>
      <c r="I304" s="33" t="str">
        <f>VLOOKUP(C304,Sheet1!C:D,2,0)</f>
        <v>Shanghai</v>
      </c>
      <c r="J304" s="50" t="s">
        <v>11</v>
      </c>
      <c r="K304" s="52" t="s">
        <v>35</v>
      </c>
      <c r="L304" s="52" t="s">
        <v>389</v>
      </c>
      <c r="M304" s="53"/>
      <c r="N304" s="53"/>
      <c r="O304" s="59"/>
    </row>
    <row r="305" spans="2:15" ht="13.9" x14ac:dyDescent="0.35">
      <c r="B305" s="50" t="s">
        <v>80</v>
      </c>
      <c r="C305" s="51" t="s">
        <v>125</v>
      </c>
      <c r="D305" s="50" t="s">
        <v>6</v>
      </c>
      <c r="E305" s="52" t="s">
        <v>34</v>
      </c>
      <c r="F305" s="53">
        <v>3</v>
      </c>
      <c r="G305" s="53">
        <v>4560</v>
      </c>
      <c r="H305" s="33" t="str">
        <f>VLOOKUP(B305,Sheet1!A:B,2,0)</f>
        <v>Guangdong</v>
      </c>
      <c r="I305" s="33" t="str">
        <f>VLOOKUP(C305,Sheet1!C:D,2,0)</f>
        <v>Shantou</v>
      </c>
      <c r="J305" s="50" t="s">
        <v>6</v>
      </c>
      <c r="K305" s="52" t="s">
        <v>35</v>
      </c>
      <c r="L305" s="52" t="s">
        <v>390</v>
      </c>
      <c r="M305" s="53"/>
      <c r="N305" s="53"/>
      <c r="O305" s="59"/>
    </row>
    <row r="306" spans="2:15" ht="13.9" x14ac:dyDescent="0.35">
      <c r="B306" s="50" t="s">
        <v>80</v>
      </c>
      <c r="C306" s="51" t="s">
        <v>125</v>
      </c>
      <c r="D306" s="50" t="s">
        <v>8</v>
      </c>
      <c r="E306" s="52" t="s">
        <v>34</v>
      </c>
      <c r="F306" s="53">
        <v>3</v>
      </c>
      <c r="G306" s="53">
        <v>4920</v>
      </c>
      <c r="H306" s="33" t="str">
        <f>VLOOKUP(B306,Sheet1!A:B,2,0)</f>
        <v>Guangdong</v>
      </c>
      <c r="I306" s="33" t="str">
        <f>VLOOKUP(C306,Sheet1!C:D,2,0)</f>
        <v>Shantou</v>
      </c>
      <c r="J306" s="50" t="s">
        <v>8</v>
      </c>
      <c r="K306" s="52" t="s">
        <v>35</v>
      </c>
      <c r="L306" s="52" t="s">
        <v>391</v>
      </c>
      <c r="M306" s="53"/>
      <c r="N306" s="53"/>
      <c r="O306" s="59"/>
    </row>
    <row r="307" spans="2:15" ht="13.9" x14ac:dyDescent="0.35">
      <c r="B307" s="50" t="s">
        <v>80</v>
      </c>
      <c r="C307" s="51" t="s">
        <v>125</v>
      </c>
      <c r="D307" s="50" t="s">
        <v>9</v>
      </c>
      <c r="E307" s="52" t="s">
        <v>34</v>
      </c>
      <c r="F307" s="53">
        <v>3</v>
      </c>
      <c r="G307" s="53">
        <v>6240</v>
      </c>
      <c r="H307" s="33" t="str">
        <f>VLOOKUP(B307,Sheet1!A:B,2,0)</f>
        <v>Guangdong</v>
      </c>
      <c r="I307" s="33" t="str">
        <f>VLOOKUP(C307,Sheet1!C:D,2,0)</f>
        <v>Shantou</v>
      </c>
      <c r="J307" s="50" t="s">
        <v>9</v>
      </c>
      <c r="K307" s="52" t="s">
        <v>35</v>
      </c>
      <c r="L307" s="52" t="s">
        <v>392</v>
      </c>
      <c r="M307" s="53"/>
      <c r="N307" s="53"/>
      <c r="O307" s="59"/>
    </row>
    <row r="308" spans="2:15" ht="13.9" x14ac:dyDescent="0.35">
      <c r="B308" s="50" t="s">
        <v>80</v>
      </c>
      <c r="C308" s="51" t="s">
        <v>125</v>
      </c>
      <c r="D308" s="50" t="s">
        <v>258</v>
      </c>
      <c r="E308" s="52" t="s">
        <v>48</v>
      </c>
      <c r="F308" s="53">
        <v>3</v>
      </c>
      <c r="G308" s="53">
        <v>5400</v>
      </c>
      <c r="H308" s="33" t="str">
        <f>VLOOKUP(B308,Sheet1!A:B,2,0)</f>
        <v>Guangdong</v>
      </c>
      <c r="I308" s="33" t="str">
        <f>VLOOKUP(C308,Sheet1!C:D,2,0)</f>
        <v>Shantou</v>
      </c>
      <c r="J308" s="50" t="s">
        <v>258</v>
      </c>
      <c r="K308" s="52" t="s">
        <v>50</v>
      </c>
      <c r="L308" s="52" t="s">
        <v>393</v>
      </c>
      <c r="M308" s="53"/>
      <c r="N308" s="53"/>
      <c r="O308" s="59"/>
    </row>
    <row r="309" spans="2:15" ht="13.9" x14ac:dyDescent="0.35">
      <c r="B309" s="50" t="s">
        <v>80</v>
      </c>
      <c r="C309" s="51" t="s">
        <v>125</v>
      </c>
      <c r="D309" s="50" t="s">
        <v>10</v>
      </c>
      <c r="E309" s="52" t="s">
        <v>34</v>
      </c>
      <c r="F309" s="53">
        <v>3</v>
      </c>
      <c r="G309" s="53">
        <v>8300</v>
      </c>
      <c r="H309" s="33" t="str">
        <f>VLOOKUP(B309,Sheet1!A:B,2,0)</f>
        <v>Guangdong</v>
      </c>
      <c r="I309" s="33" t="str">
        <f>VLOOKUP(C309,Sheet1!C:D,2,0)</f>
        <v>Shantou</v>
      </c>
      <c r="J309" s="50" t="s">
        <v>10</v>
      </c>
      <c r="K309" s="52" t="s">
        <v>35</v>
      </c>
      <c r="L309" s="52" t="s">
        <v>394</v>
      </c>
      <c r="M309" s="53"/>
      <c r="N309" s="53"/>
      <c r="O309" s="59"/>
    </row>
    <row r="310" spans="2:15" ht="13.9" x14ac:dyDescent="0.35">
      <c r="B310" s="50" t="s">
        <v>80</v>
      </c>
      <c r="C310" s="51" t="s">
        <v>125</v>
      </c>
      <c r="D310" s="50" t="s">
        <v>11</v>
      </c>
      <c r="E310" s="52" t="s">
        <v>34</v>
      </c>
      <c r="F310" s="53">
        <v>3</v>
      </c>
      <c r="G310" s="53">
        <v>8300</v>
      </c>
      <c r="H310" s="33" t="str">
        <f>VLOOKUP(B310,Sheet1!A:B,2,0)</f>
        <v>Guangdong</v>
      </c>
      <c r="I310" s="33" t="str">
        <f>VLOOKUP(C310,Sheet1!C:D,2,0)</f>
        <v>Shantou</v>
      </c>
      <c r="J310" s="50" t="s">
        <v>11</v>
      </c>
      <c r="K310" s="52" t="s">
        <v>35</v>
      </c>
      <c r="L310" s="52" t="s">
        <v>395</v>
      </c>
      <c r="M310" s="53"/>
      <c r="N310" s="53"/>
      <c r="O310" s="59"/>
    </row>
    <row r="311" spans="2:15" ht="13.9" x14ac:dyDescent="0.35">
      <c r="B311" s="50" t="s">
        <v>80</v>
      </c>
      <c r="C311" s="51" t="s">
        <v>132</v>
      </c>
      <c r="D311" s="50" t="s">
        <v>258</v>
      </c>
      <c r="E311" s="52" t="s">
        <v>48</v>
      </c>
      <c r="F311" s="53">
        <v>3</v>
      </c>
      <c r="G311" s="53">
        <v>6240</v>
      </c>
      <c r="H311" s="33" t="str">
        <f>VLOOKUP(B311,Sheet1!A:B,2,0)</f>
        <v>Guangdong</v>
      </c>
      <c r="I311" s="33" t="str">
        <f>VLOOKUP(C311,Sheet1!C:D,2,0)</f>
        <v>Shenzhen</v>
      </c>
      <c r="J311" s="50" t="s">
        <v>258</v>
      </c>
      <c r="K311" s="52" t="s">
        <v>50</v>
      </c>
      <c r="L311" s="52" t="s">
        <v>396</v>
      </c>
      <c r="M311" s="53"/>
      <c r="N311" s="53"/>
      <c r="O311" s="59"/>
    </row>
    <row r="312" spans="2:15" ht="13.9" x14ac:dyDescent="0.35">
      <c r="B312" s="50" t="s">
        <v>67</v>
      </c>
      <c r="C312" s="51" t="s">
        <v>76</v>
      </c>
      <c r="D312" s="52" t="s">
        <v>7</v>
      </c>
      <c r="E312" s="52" t="s">
        <v>34</v>
      </c>
      <c r="F312" s="53">
        <v>3</v>
      </c>
      <c r="G312" s="53">
        <v>4200</v>
      </c>
      <c r="H312" s="33" t="str">
        <f>VLOOKUP(B312,Sheet1!A:B,2,0)</f>
        <v>Fujian</v>
      </c>
      <c r="I312" s="33" t="str">
        <f>VLOOKUP(C312,Sheet1!C:D,2,0)</f>
        <v>Shishi</v>
      </c>
      <c r="J312" s="52" t="s">
        <v>7</v>
      </c>
      <c r="K312" s="52" t="s">
        <v>35</v>
      </c>
      <c r="L312" s="52" t="s">
        <v>397</v>
      </c>
      <c r="M312" s="53"/>
      <c r="N312" s="53"/>
      <c r="O312" s="59"/>
    </row>
    <row r="313" spans="2:15" ht="13.9" x14ac:dyDescent="0.35">
      <c r="B313" s="50" t="s">
        <v>67</v>
      </c>
      <c r="C313" s="51" t="s">
        <v>76</v>
      </c>
      <c r="D313" s="52" t="s">
        <v>8</v>
      </c>
      <c r="E313" s="52" t="s">
        <v>34</v>
      </c>
      <c r="F313" s="53">
        <v>3</v>
      </c>
      <c r="G313" s="53">
        <v>4200</v>
      </c>
      <c r="H313" s="33" t="str">
        <f>VLOOKUP(B313,Sheet1!A:B,2,0)</f>
        <v>Fujian</v>
      </c>
      <c r="I313" s="33" t="str">
        <f>VLOOKUP(C313,Sheet1!C:D,2,0)</f>
        <v>Shishi</v>
      </c>
      <c r="J313" s="52" t="s">
        <v>8</v>
      </c>
      <c r="K313" s="52" t="s">
        <v>35</v>
      </c>
      <c r="L313" s="52" t="s">
        <v>398</v>
      </c>
      <c r="M313" s="53"/>
      <c r="N313" s="53"/>
      <c r="O313" s="59"/>
    </row>
    <row r="314" spans="2:15" ht="13.9" x14ac:dyDescent="0.35">
      <c r="B314" s="50" t="s">
        <v>67</v>
      </c>
      <c r="C314" s="51" t="s">
        <v>76</v>
      </c>
      <c r="D314" s="52" t="s">
        <v>9</v>
      </c>
      <c r="E314" s="52" t="s">
        <v>34</v>
      </c>
      <c r="F314" s="53">
        <v>3</v>
      </c>
      <c r="G314" s="53">
        <v>6000</v>
      </c>
      <c r="H314" s="33" t="str">
        <f>VLOOKUP(B314,Sheet1!A:B,2,0)</f>
        <v>Fujian</v>
      </c>
      <c r="I314" s="33" t="str">
        <f>VLOOKUP(C314,Sheet1!C:D,2,0)</f>
        <v>Shishi</v>
      </c>
      <c r="J314" s="52" t="s">
        <v>9</v>
      </c>
      <c r="K314" s="52" t="s">
        <v>35</v>
      </c>
      <c r="L314" s="52" t="s">
        <v>399</v>
      </c>
      <c r="M314" s="53"/>
      <c r="N314" s="53"/>
      <c r="O314" s="59"/>
    </row>
    <row r="315" spans="2:15" ht="13.9" x14ac:dyDescent="0.35">
      <c r="B315" s="50" t="s">
        <v>67</v>
      </c>
      <c r="C315" s="51" t="s">
        <v>76</v>
      </c>
      <c r="D315" s="52" t="s">
        <v>10</v>
      </c>
      <c r="E315" s="52" t="s">
        <v>34</v>
      </c>
      <c r="F315" s="53">
        <v>3</v>
      </c>
      <c r="G315" s="53">
        <v>6600</v>
      </c>
      <c r="H315" s="33" t="str">
        <f>VLOOKUP(B315,Sheet1!A:B,2,0)</f>
        <v>Fujian</v>
      </c>
      <c r="I315" s="33" t="str">
        <f>VLOOKUP(C315,Sheet1!C:D,2,0)</f>
        <v>Shishi</v>
      </c>
      <c r="J315" s="52" t="s">
        <v>10</v>
      </c>
      <c r="K315" s="52" t="s">
        <v>35</v>
      </c>
      <c r="L315" s="52" t="s">
        <v>400</v>
      </c>
      <c r="M315" s="53"/>
      <c r="N315" s="53"/>
      <c r="O315" s="59"/>
    </row>
    <row r="316" spans="2:15" ht="13.9" x14ac:dyDescent="0.35">
      <c r="B316" s="50" t="s">
        <v>67</v>
      </c>
      <c r="C316" s="51" t="s">
        <v>76</v>
      </c>
      <c r="D316" s="52" t="s">
        <v>11</v>
      </c>
      <c r="E316" s="52" t="s">
        <v>34</v>
      </c>
      <c r="F316" s="53">
        <v>3</v>
      </c>
      <c r="G316" s="53">
        <v>6600</v>
      </c>
      <c r="H316" s="33" t="str">
        <f>VLOOKUP(B316,Sheet1!A:B,2,0)</f>
        <v>Fujian</v>
      </c>
      <c r="I316" s="33" t="str">
        <f>VLOOKUP(C316,Sheet1!C:D,2,0)</f>
        <v>Shishi</v>
      </c>
      <c r="J316" s="52" t="s">
        <v>11</v>
      </c>
      <c r="K316" s="52" t="s">
        <v>35</v>
      </c>
      <c r="L316" s="52" t="s">
        <v>401</v>
      </c>
      <c r="M316" s="53"/>
      <c r="N316" s="53"/>
      <c r="O316" s="59"/>
    </row>
    <row r="317" spans="2:15" ht="13.9" x14ac:dyDescent="0.35">
      <c r="B317" s="50" t="s">
        <v>67</v>
      </c>
      <c r="C317" s="51" t="s">
        <v>76</v>
      </c>
      <c r="D317" s="52" t="s">
        <v>258</v>
      </c>
      <c r="E317" s="52" t="s">
        <v>48</v>
      </c>
      <c r="F317" s="53">
        <v>3</v>
      </c>
      <c r="G317" s="53">
        <v>4200</v>
      </c>
      <c r="H317" s="33" t="str">
        <f>VLOOKUP(B317,Sheet1!A:B,2,0)</f>
        <v>Fujian</v>
      </c>
      <c r="I317" s="33" t="str">
        <f>VLOOKUP(C317,Sheet1!C:D,2,0)</f>
        <v>Shishi</v>
      </c>
      <c r="J317" s="52" t="s">
        <v>258</v>
      </c>
      <c r="K317" s="52" t="s">
        <v>50</v>
      </c>
      <c r="L317" s="52" t="s">
        <v>402</v>
      </c>
      <c r="M317" s="53"/>
      <c r="N317" s="53"/>
      <c r="O317" s="59"/>
    </row>
    <row r="318" spans="2:15" ht="13.9" x14ac:dyDescent="0.35">
      <c r="B318" s="50" t="s">
        <v>67</v>
      </c>
      <c r="C318" s="51" t="s">
        <v>76</v>
      </c>
      <c r="D318" s="52" t="s">
        <v>326</v>
      </c>
      <c r="E318" s="52" t="s">
        <v>48</v>
      </c>
      <c r="F318" s="53">
        <v>3</v>
      </c>
      <c r="G318" s="53">
        <v>6840</v>
      </c>
      <c r="H318" s="33" t="str">
        <f>VLOOKUP(B318,Sheet1!A:B,2,0)</f>
        <v>Fujian</v>
      </c>
      <c r="I318" s="33" t="str">
        <f>VLOOKUP(C318,Sheet1!C:D,2,0)</f>
        <v>Shishi</v>
      </c>
      <c r="J318" s="50" t="s">
        <v>49</v>
      </c>
      <c r="K318" s="52" t="s">
        <v>50</v>
      </c>
      <c r="L318" s="52" t="s">
        <v>403</v>
      </c>
      <c r="M318" s="53"/>
      <c r="N318" s="53"/>
      <c r="O318" s="59"/>
    </row>
    <row r="319" spans="2:15" ht="13.9" x14ac:dyDescent="0.35">
      <c r="B319" s="50" t="s">
        <v>191</v>
      </c>
      <c r="C319" s="51" t="s">
        <v>199</v>
      </c>
      <c r="D319" s="52" t="s">
        <v>4</v>
      </c>
      <c r="E319" s="52" t="s">
        <v>34</v>
      </c>
      <c r="F319" s="53">
        <v>2</v>
      </c>
      <c r="G319" s="53">
        <v>1740</v>
      </c>
      <c r="H319" s="33" t="str">
        <f>VLOOKUP(B319,Sheet1!A:B,2,0)</f>
        <v>Jiangsu</v>
      </c>
      <c r="I319" s="33" t="str">
        <f>VLOOKUP(C319,Sheet1!C:D,2,0)</f>
        <v>Suqian</v>
      </c>
      <c r="J319" s="52" t="s">
        <v>4</v>
      </c>
      <c r="K319" s="52" t="s">
        <v>35</v>
      </c>
      <c r="L319" s="52" t="s">
        <v>404</v>
      </c>
      <c r="M319" s="53"/>
      <c r="N319" s="53"/>
      <c r="O319" s="59"/>
    </row>
    <row r="320" spans="2:15" ht="13.9" x14ac:dyDescent="0.35">
      <c r="B320" s="50" t="s">
        <v>191</v>
      </c>
      <c r="C320" s="51" t="s">
        <v>199</v>
      </c>
      <c r="D320" s="52" t="s">
        <v>5</v>
      </c>
      <c r="E320" s="52" t="s">
        <v>34</v>
      </c>
      <c r="F320" s="53">
        <v>2</v>
      </c>
      <c r="G320" s="53">
        <v>2856</v>
      </c>
      <c r="H320" s="33" t="str">
        <f>VLOOKUP(B320,Sheet1!A:B,2,0)</f>
        <v>Jiangsu</v>
      </c>
      <c r="I320" s="33" t="str">
        <f>VLOOKUP(C320,Sheet1!C:D,2,0)</f>
        <v>Suqian</v>
      </c>
      <c r="J320" s="52" t="s">
        <v>5</v>
      </c>
      <c r="K320" s="52" t="s">
        <v>35</v>
      </c>
      <c r="L320" s="52" t="s">
        <v>405</v>
      </c>
      <c r="M320" s="53"/>
      <c r="N320" s="53"/>
      <c r="O320" s="59"/>
    </row>
    <row r="321" spans="2:15" ht="13.9" x14ac:dyDescent="0.35">
      <c r="B321" s="50" t="s">
        <v>191</v>
      </c>
      <c r="C321" s="51" t="s">
        <v>199</v>
      </c>
      <c r="D321" s="52" t="s">
        <v>8</v>
      </c>
      <c r="E321" s="52" t="s">
        <v>34</v>
      </c>
      <c r="F321" s="53">
        <v>2</v>
      </c>
      <c r="G321" s="53">
        <v>3420</v>
      </c>
      <c r="H321" s="33" t="str">
        <f>VLOOKUP(B321,Sheet1!A:B,2,0)</f>
        <v>Jiangsu</v>
      </c>
      <c r="I321" s="33" t="str">
        <f>VLOOKUP(C321,Sheet1!C:D,2,0)</f>
        <v>Suqian</v>
      </c>
      <c r="J321" s="52" t="s">
        <v>8</v>
      </c>
      <c r="K321" s="52" t="s">
        <v>35</v>
      </c>
      <c r="L321" s="52" t="s">
        <v>406</v>
      </c>
      <c r="M321" s="53"/>
      <c r="N321" s="53"/>
      <c r="O321" s="59"/>
    </row>
    <row r="322" spans="2:15" ht="13.9" x14ac:dyDescent="0.35">
      <c r="B322" s="50" t="s">
        <v>191</v>
      </c>
      <c r="C322" s="51" t="s">
        <v>199</v>
      </c>
      <c r="D322" s="52" t="s">
        <v>9</v>
      </c>
      <c r="E322" s="52" t="s">
        <v>34</v>
      </c>
      <c r="F322" s="53">
        <v>2</v>
      </c>
      <c r="G322" s="53">
        <v>5160</v>
      </c>
      <c r="H322" s="33" t="str">
        <f>VLOOKUP(B322,Sheet1!A:B,2,0)</f>
        <v>Jiangsu</v>
      </c>
      <c r="I322" s="33" t="str">
        <f>VLOOKUP(C322,Sheet1!C:D,2,0)</f>
        <v>Suqian</v>
      </c>
      <c r="J322" s="52" t="s">
        <v>9</v>
      </c>
      <c r="K322" s="52" t="s">
        <v>35</v>
      </c>
      <c r="L322" s="52" t="s">
        <v>407</v>
      </c>
      <c r="M322" s="53"/>
      <c r="N322" s="53"/>
      <c r="O322" s="59"/>
    </row>
    <row r="323" spans="2:15" ht="13.9" x14ac:dyDescent="0.35">
      <c r="B323" s="50" t="s">
        <v>191</v>
      </c>
      <c r="C323" s="51" t="s">
        <v>199</v>
      </c>
      <c r="D323" s="52" t="s">
        <v>10</v>
      </c>
      <c r="E323" s="52" t="s">
        <v>34</v>
      </c>
      <c r="F323" s="53">
        <v>2</v>
      </c>
      <c r="G323" s="53">
        <v>5760</v>
      </c>
      <c r="H323" s="33" t="str">
        <f>VLOOKUP(B323,Sheet1!A:B,2,0)</f>
        <v>Jiangsu</v>
      </c>
      <c r="I323" s="33" t="str">
        <f>VLOOKUP(C323,Sheet1!C:D,2,0)</f>
        <v>Suqian</v>
      </c>
      <c r="J323" s="52" t="s">
        <v>10</v>
      </c>
      <c r="K323" s="52" t="s">
        <v>35</v>
      </c>
      <c r="L323" s="52" t="s">
        <v>408</v>
      </c>
      <c r="M323" s="53"/>
      <c r="N323" s="53"/>
      <c r="O323" s="59"/>
    </row>
    <row r="324" spans="2:15" ht="13.9" x14ac:dyDescent="0.35">
      <c r="B324" s="50" t="s">
        <v>191</v>
      </c>
      <c r="C324" s="51" t="s">
        <v>199</v>
      </c>
      <c r="D324" s="52" t="s">
        <v>11</v>
      </c>
      <c r="E324" s="52" t="s">
        <v>34</v>
      </c>
      <c r="F324" s="53">
        <v>2</v>
      </c>
      <c r="G324" s="53">
        <v>6000</v>
      </c>
      <c r="H324" s="33" t="str">
        <f>VLOOKUP(B324,Sheet1!A:B,2,0)</f>
        <v>Jiangsu</v>
      </c>
      <c r="I324" s="33" t="str">
        <f>VLOOKUP(C324,Sheet1!C:D,2,0)</f>
        <v>Suqian</v>
      </c>
      <c r="J324" s="52" t="s">
        <v>11</v>
      </c>
      <c r="K324" s="52" t="s">
        <v>35</v>
      </c>
      <c r="L324" s="52" t="s">
        <v>409</v>
      </c>
      <c r="M324" s="53"/>
      <c r="N324" s="53"/>
      <c r="O324" s="59"/>
    </row>
    <row r="325" spans="2:15" ht="13.9" x14ac:dyDescent="0.35">
      <c r="B325" s="50" t="s">
        <v>191</v>
      </c>
      <c r="C325" s="51" t="s">
        <v>199</v>
      </c>
      <c r="D325" s="52" t="s">
        <v>258</v>
      </c>
      <c r="E325" s="52" t="s">
        <v>48</v>
      </c>
      <c r="F325" s="53">
        <v>2</v>
      </c>
      <c r="G325" s="53">
        <v>4020</v>
      </c>
      <c r="H325" s="33" t="str">
        <f>VLOOKUP(B325,Sheet1!A:B,2,0)</f>
        <v>Jiangsu</v>
      </c>
      <c r="I325" s="33" t="str">
        <f>VLOOKUP(C325,Sheet1!C:D,2,0)</f>
        <v>Suqian</v>
      </c>
      <c r="J325" s="52" t="s">
        <v>258</v>
      </c>
      <c r="K325" s="52" t="s">
        <v>50</v>
      </c>
      <c r="L325" s="52" t="s">
        <v>410</v>
      </c>
      <c r="M325" s="53"/>
      <c r="N325" s="53"/>
      <c r="O325" s="59"/>
    </row>
    <row r="326" spans="2:15" ht="13.9" x14ac:dyDescent="0.35">
      <c r="B326" s="50" t="s">
        <v>191</v>
      </c>
      <c r="C326" s="51" t="s">
        <v>199</v>
      </c>
      <c r="D326" s="52" t="s">
        <v>326</v>
      </c>
      <c r="E326" s="52" t="s">
        <v>48</v>
      </c>
      <c r="F326" s="53">
        <v>2</v>
      </c>
      <c r="G326" s="53">
        <v>5700</v>
      </c>
      <c r="H326" s="33" t="str">
        <f>VLOOKUP(B326,Sheet1!A:B,2,0)</f>
        <v>Jiangsu</v>
      </c>
      <c r="I326" s="33" t="str">
        <f>VLOOKUP(C326,Sheet1!C:D,2,0)</f>
        <v>Suqian</v>
      </c>
      <c r="J326" s="50" t="s">
        <v>49</v>
      </c>
      <c r="K326" s="52" t="s">
        <v>50</v>
      </c>
      <c r="L326" s="52" t="s">
        <v>411</v>
      </c>
      <c r="M326" s="53"/>
      <c r="N326" s="53"/>
      <c r="O326" s="59"/>
    </row>
    <row r="327" spans="2:15" ht="13.9" x14ac:dyDescent="0.35">
      <c r="B327" s="50" t="s">
        <v>191</v>
      </c>
      <c r="C327" s="51" t="s">
        <v>202</v>
      </c>
      <c r="D327" s="50" t="s">
        <v>258</v>
      </c>
      <c r="E327" s="52" t="s">
        <v>48</v>
      </c>
      <c r="F327" s="53">
        <v>2</v>
      </c>
      <c r="G327" s="53">
        <v>1620</v>
      </c>
      <c r="H327" s="33" t="str">
        <f>VLOOKUP(B327,Sheet1!A:B,2,0)</f>
        <v>Jiangsu</v>
      </c>
      <c r="I327" s="33" t="str">
        <f>VLOOKUP(C327,Sheet1!C:D,2,0)</f>
        <v>Suzhou</v>
      </c>
      <c r="J327" s="50" t="s">
        <v>258</v>
      </c>
      <c r="K327" s="52" t="s">
        <v>50</v>
      </c>
      <c r="L327" s="52" t="s">
        <v>412</v>
      </c>
      <c r="M327" s="53"/>
      <c r="N327" s="53"/>
      <c r="O327" s="59"/>
    </row>
    <row r="328" spans="2:15" ht="13.9" x14ac:dyDescent="0.35">
      <c r="B328" s="63" t="s">
        <v>229</v>
      </c>
      <c r="C328" s="63" t="s">
        <v>236</v>
      </c>
      <c r="D328" s="52" t="s">
        <v>6</v>
      </c>
      <c r="E328" s="52" t="s">
        <v>34</v>
      </c>
      <c r="F328" s="53">
        <v>2</v>
      </c>
      <c r="G328" s="53">
        <v>4080</v>
      </c>
      <c r="H328" s="33" t="str">
        <f>VLOOKUP(B328,Sheet1!A:B,2,0)</f>
        <v>Shandong</v>
      </c>
      <c r="I328" s="33" t="str">
        <f>VLOOKUP(C328,Sheet1!C:D,2,0)</f>
        <v>Tai'An</v>
      </c>
      <c r="J328" s="52" t="s">
        <v>6</v>
      </c>
      <c r="K328" s="52" t="s">
        <v>35</v>
      </c>
      <c r="L328" s="52" t="s">
        <v>413</v>
      </c>
      <c r="M328" s="53"/>
      <c r="N328" s="53"/>
      <c r="O328" s="59"/>
    </row>
    <row r="329" spans="2:15" ht="13.9" x14ac:dyDescent="0.35">
      <c r="B329" s="63" t="s">
        <v>229</v>
      </c>
      <c r="C329" s="63" t="s">
        <v>236</v>
      </c>
      <c r="D329" s="52" t="s">
        <v>7</v>
      </c>
      <c r="E329" s="52" t="s">
        <v>34</v>
      </c>
      <c r="F329" s="53">
        <v>2</v>
      </c>
      <c r="G329" s="53">
        <v>4320</v>
      </c>
      <c r="H329" s="33" t="str">
        <f>VLOOKUP(B329,Sheet1!A:B,2,0)</f>
        <v>Shandong</v>
      </c>
      <c r="I329" s="33" t="str">
        <f>VLOOKUP(C329,Sheet1!C:D,2,0)</f>
        <v>Tai'An</v>
      </c>
      <c r="J329" s="52" t="s">
        <v>7</v>
      </c>
      <c r="K329" s="52" t="s">
        <v>35</v>
      </c>
      <c r="L329" s="52" t="s">
        <v>414</v>
      </c>
      <c r="M329" s="53"/>
      <c r="N329" s="53"/>
      <c r="O329" s="59"/>
    </row>
    <row r="330" spans="2:15" ht="13.9" x14ac:dyDescent="0.35">
      <c r="B330" s="63" t="s">
        <v>229</v>
      </c>
      <c r="C330" s="63" t="s">
        <v>236</v>
      </c>
      <c r="D330" s="52" t="s">
        <v>8</v>
      </c>
      <c r="E330" s="52" t="s">
        <v>34</v>
      </c>
      <c r="F330" s="53">
        <v>2</v>
      </c>
      <c r="G330" s="53">
        <v>4320</v>
      </c>
      <c r="H330" s="33" t="str">
        <f>VLOOKUP(B330,Sheet1!A:B,2,0)</f>
        <v>Shandong</v>
      </c>
      <c r="I330" s="33" t="str">
        <f>VLOOKUP(C330,Sheet1!C:D,2,0)</f>
        <v>Tai'An</v>
      </c>
      <c r="J330" s="52" t="s">
        <v>8</v>
      </c>
      <c r="K330" s="52" t="s">
        <v>35</v>
      </c>
      <c r="L330" s="52" t="s">
        <v>415</v>
      </c>
      <c r="M330" s="53"/>
      <c r="N330" s="53"/>
      <c r="O330" s="59"/>
    </row>
    <row r="331" spans="2:15" ht="13.9" x14ac:dyDescent="0.35">
      <c r="B331" s="63" t="s">
        <v>229</v>
      </c>
      <c r="C331" s="63" t="s">
        <v>236</v>
      </c>
      <c r="D331" s="52" t="s">
        <v>9</v>
      </c>
      <c r="E331" s="52" t="s">
        <v>34</v>
      </c>
      <c r="F331" s="53">
        <v>2</v>
      </c>
      <c r="G331" s="53">
        <v>7320</v>
      </c>
      <c r="H331" s="33" t="str">
        <f>VLOOKUP(B331,Sheet1!A:B,2,0)</f>
        <v>Shandong</v>
      </c>
      <c r="I331" s="33" t="str">
        <f>VLOOKUP(C331,Sheet1!C:D,2,0)</f>
        <v>Tai'An</v>
      </c>
      <c r="J331" s="52" t="s">
        <v>9</v>
      </c>
      <c r="K331" s="52" t="s">
        <v>35</v>
      </c>
      <c r="L331" s="52" t="s">
        <v>416</v>
      </c>
      <c r="M331" s="53"/>
      <c r="N331" s="53"/>
      <c r="O331" s="59"/>
    </row>
    <row r="332" spans="2:15" ht="13.9" x14ac:dyDescent="0.35">
      <c r="B332" s="63" t="s">
        <v>229</v>
      </c>
      <c r="C332" s="63" t="s">
        <v>236</v>
      </c>
      <c r="D332" s="52" t="s">
        <v>10</v>
      </c>
      <c r="E332" s="52" t="s">
        <v>34</v>
      </c>
      <c r="F332" s="53">
        <v>2</v>
      </c>
      <c r="G332" s="53">
        <v>8400</v>
      </c>
      <c r="H332" s="33" t="str">
        <f>VLOOKUP(B332,Sheet1!A:B,2,0)</f>
        <v>Shandong</v>
      </c>
      <c r="I332" s="33" t="str">
        <f>VLOOKUP(C332,Sheet1!C:D,2,0)</f>
        <v>Tai'An</v>
      </c>
      <c r="J332" s="52" t="s">
        <v>10</v>
      </c>
      <c r="K332" s="52" t="s">
        <v>35</v>
      </c>
      <c r="L332" s="52" t="s">
        <v>417</v>
      </c>
      <c r="M332" s="53"/>
      <c r="N332" s="53"/>
      <c r="O332" s="59"/>
    </row>
    <row r="333" spans="2:15" ht="13.9" x14ac:dyDescent="0.35">
      <c r="B333" s="63" t="s">
        <v>229</v>
      </c>
      <c r="C333" s="63" t="s">
        <v>236</v>
      </c>
      <c r="D333" s="52" t="s">
        <v>11</v>
      </c>
      <c r="E333" s="52" t="s">
        <v>34</v>
      </c>
      <c r="F333" s="53">
        <v>2</v>
      </c>
      <c r="G333" s="53">
        <v>8640</v>
      </c>
      <c r="H333" s="33" t="str">
        <f>VLOOKUP(B333,Sheet1!A:B,2,0)</f>
        <v>Shandong</v>
      </c>
      <c r="I333" s="33" t="str">
        <f>VLOOKUP(C333,Sheet1!C:D,2,0)</f>
        <v>Tai'An</v>
      </c>
      <c r="J333" s="52" t="s">
        <v>11</v>
      </c>
      <c r="K333" s="52" t="s">
        <v>35</v>
      </c>
      <c r="L333" s="52" t="s">
        <v>418</v>
      </c>
      <c r="M333" s="53"/>
      <c r="N333" s="53"/>
      <c r="O333" s="59"/>
    </row>
    <row r="334" spans="2:15" ht="13.9" x14ac:dyDescent="0.35">
      <c r="B334" s="63" t="s">
        <v>229</v>
      </c>
      <c r="C334" s="63" t="s">
        <v>236</v>
      </c>
      <c r="D334" s="52" t="s">
        <v>258</v>
      </c>
      <c r="E334" s="52" t="s">
        <v>48</v>
      </c>
      <c r="F334" s="53">
        <v>2</v>
      </c>
      <c r="G334" s="53">
        <v>5100</v>
      </c>
      <c r="H334" s="33" t="str">
        <f>VLOOKUP(B334,Sheet1!A:B,2,0)</f>
        <v>Shandong</v>
      </c>
      <c r="I334" s="33" t="str">
        <f>VLOOKUP(C334,Sheet1!C:D,2,0)</f>
        <v>Tai'An</v>
      </c>
      <c r="J334" s="52" t="s">
        <v>258</v>
      </c>
      <c r="K334" s="52" t="s">
        <v>50</v>
      </c>
      <c r="L334" s="52" t="s">
        <v>419</v>
      </c>
      <c r="M334" s="53"/>
      <c r="N334" s="53"/>
      <c r="O334" s="59"/>
    </row>
    <row r="335" spans="2:15" ht="13.9" x14ac:dyDescent="0.35">
      <c r="B335" s="63" t="s">
        <v>229</v>
      </c>
      <c r="C335" s="63" t="s">
        <v>236</v>
      </c>
      <c r="D335" s="52" t="s">
        <v>326</v>
      </c>
      <c r="E335" s="52" t="s">
        <v>48</v>
      </c>
      <c r="F335" s="53">
        <v>2</v>
      </c>
      <c r="G335" s="53">
        <v>7800</v>
      </c>
      <c r="H335" s="33" t="str">
        <f>VLOOKUP(B335,Sheet1!A:B,2,0)</f>
        <v>Shandong</v>
      </c>
      <c r="I335" s="33" t="str">
        <f>VLOOKUP(C335,Sheet1!C:D,2,0)</f>
        <v>Tai'An</v>
      </c>
      <c r="J335" s="50" t="s">
        <v>49</v>
      </c>
      <c r="K335" s="52" t="s">
        <v>50</v>
      </c>
      <c r="L335" s="52" t="s">
        <v>420</v>
      </c>
      <c r="M335" s="53"/>
      <c r="N335" s="53"/>
      <c r="O335" s="59"/>
    </row>
    <row r="336" spans="2:15" ht="13.9" x14ac:dyDescent="0.35">
      <c r="B336" s="63" t="s">
        <v>229</v>
      </c>
      <c r="C336" s="63" t="s">
        <v>239</v>
      </c>
      <c r="D336" s="52" t="s">
        <v>5</v>
      </c>
      <c r="E336" s="52" t="s">
        <v>34</v>
      </c>
      <c r="F336" s="53">
        <v>2</v>
      </c>
      <c r="G336" s="53">
        <v>4320</v>
      </c>
      <c r="H336" s="33" t="str">
        <f>VLOOKUP(B336,Sheet1!A:B,2,0)</f>
        <v>Shandong</v>
      </c>
      <c r="I336" s="33" t="str">
        <f>VLOOKUP(C336,Sheet1!C:D,2,0)</f>
        <v>Weihai</v>
      </c>
      <c r="J336" s="52" t="s">
        <v>5</v>
      </c>
      <c r="K336" s="52" t="s">
        <v>35</v>
      </c>
      <c r="L336" s="52" t="s">
        <v>421</v>
      </c>
      <c r="M336" s="53"/>
      <c r="N336" s="53"/>
      <c r="O336" s="59"/>
    </row>
    <row r="337" spans="2:15" ht="13.9" x14ac:dyDescent="0.35">
      <c r="B337" s="63" t="s">
        <v>229</v>
      </c>
      <c r="C337" s="63" t="s">
        <v>239</v>
      </c>
      <c r="D337" s="52" t="s">
        <v>6</v>
      </c>
      <c r="E337" s="52" t="s">
        <v>34</v>
      </c>
      <c r="F337" s="53">
        <v>2</v>
      </c>
      <c r="G337" s="53">
        <v>4560</v>
      </c>
      <c r="H337" s="33" t="str">
        <f>VLOOKUP(B337,Sheet1!A:B,2,0)</f>
        <v>Shandong</v>
      </c>
      <c r="I337" s="33" t="str">
        <f>VLOOKUP(C337,Sheet1!C:D,2,0)</f>
        <v>Weihai</v>
      </c>
      <c r="J337" s="52" t="s">
        <v>6</v>
      </c>
      <c r="K337" s="52" t="s">
        <v>35</v>
      </c>
      <c r="L337" s="52" t="s">
        <v>422</v>
      </c>
      <c r="M337" s="53"/>
      <c r="N337" s="53"/>
      <c r="O337" s="59"/>
    </row>
    <row r="338" spans="2:15" ht="13.9" x14ac:dyDescent="0.35">
      <c r="B338" s="63" t="s">
        <v>229</v>
      </c>
      <c r="C338" s="63" t="s">
        <v>239</v>
      </c>
      <c r="D338" s="52" t="s">
        <v>7</v>
      </c>
      <c r="E338" s="52" t="s">
        <v>34</v>
      </c>
      <c r="F338" s="53">
        <v>2</v>
      </c>
      <c r="G338" s="53">
        <v>4800</v>
      </c>
      <c r="H338" s="33" t="str">
        <f>VLOOKUP(B338,Sheet1!A:B,2,0)</f>
        <v>Shandong</v>
      </c>
      <c r="I338" s="33" t="str">
        <f>VLOOKUP(C338,Sheet1!C:D,2,0)</f>
        <v>Weihai</v>
      </c>
      <c r="J338" s="52" t="s">
        <v>7</v>
      </c>
      <c r="K338" s="52" t="s">
        <v>35</v>
      </c>
      <c r="L338" s="52" t="s">
        <v>423</v>
      </c>
      <c r="M338" s="53"/>
      <c r="N338" s="53"/>
      <c r="O338" s="59"/>
    </row>
    <row r="339" spans="2:15" ht="13.9" x14ac:dyDescent="0.35">
      <c r="B339" s="63" t="s">
        <v>229</v>
      </c>
      <c r="C339" s="63" t="s">
        <v>239</v>
      </c>
      <c r="D339" s="52" t="s">
        <v>8</v>
      </c>
      <c r="E339" s="52" t="s">
        <v>34</v>
      </c>
      <c r="F339" s="53">
        <v>2</v>
      </c>
      <c r="G339" s="53">
        <v>4800</v>
      </c>
      <c r="H339" s="33" t="str">
        <f>VLOOKUP(B339,Sheet1!A:B,2,0)</f>
        <v>Shandong</v>
      </c>
      <c r="I339" s="33" t="str">
        <f>VLOOKUP(C339,Sheet1!C:D,2,0)</f>
        <v>Weihai</v>
      </c>
      <c r="J339" s="52" t="s">
        <v>8</v>
      </c>
      <c r="K339" s="52" t="s">
        <v>35</v>
      </c>
      <c r="L339" s="52" t="s">
        <v>424</v>
      </c>
      <c r="M339" s="53"/>
      <c r="N339" s="53"/>
      <c r="O339" s="59"/>
    </row>
    <row r="340" spans="2:15" ht="13.9" x14ac:dyDescent="0.35">
      <c r="B340" s="63" t="s">
        <v>229</v>
      </c>
      <c r="C340" s="63" t="s">
        <v>239</v>
      </c>
      <c r="D340" s="52" t="s">
        <v>9</v>
      </c>
      <c r="E340" s="52" t="s">
        <v>34</v>
      </c>
      <c r="F340" s="53">
        <v>2</v>
      </c>
      <c r="G340" s="53">
        <v>7800</v>
      </c>
      <c r="H340" s="33" t="str">
        <f>VLOOKUP(B340,Sheet1!A:B,2,0)</f>
        <v>Shandong</v>
      </c>
      <c r="I340" s="33" t="str">
        <f>VLOOKUP(C340,Sheet1!C:D,2,0)</f>
        <v>Weihai</v>
      </c>
      <c r="J340" s="52" t="s">
        <v>9</v>
      </c>
      <c r="K340" s="52" t="s">
        <v>35</v>
      </c>
      <c r="L340" s="52" t="s">
        <v>425</v>
      </c>
      <c r="M340" s="53"/>
      <c r="N340" s="53"/>
      <c r="O340" s="59"/>
    </row>
    <row r="341" spans="2:15" ht="13.9" x14ac:dyDescent="0.35">
      <c r="B341" s="63" t="s">
        <v>229</v>
      </c>
      <c r="C341" s="63" t="s">
        <v>239</v>
      </c>
      <c r="D341" s="52" t="s">
        <v>10</v>
      </c>
      <c r="E341" s="52" t="s">
        <v>34</v>
      </c>
      <c r="F341" s="53">
        <v>2</v>
      </c>
      <c r="G341" s="53">
        <v>8520</v>
      </c>
      <c r="H341" s="33" t="str">
        <f>VLOOKUP(B341,Sheet1!A:B,2,0)</f>
        <v>Shandong</v>
      </c>
      <c r="I341" s="33" t="str">
        <f>VLOOKUP(C341,Sheet1!C:D,2,0)</f>
        <v>Weihai</v>
      </c>
      <c r="J341" s="52" t="s">
        <v>10</v>
      </c>
      <c r="K341" s="52" t="s">
        <v>35</v>
      </c>
      <c r="L341" s="52" t="s">
        <v>426</v>
      </c>
      <c r="M341" s="53"/>
      <c r="N341" s="53"/>
      <c r="O341" s="59"/>
    </row>
    <row r="342" spans="2:15" ht="13.9" x14ac:dyDescent="0.35">
      <c r="B342" s="63" t="s">
        <v>229</v>
      </c>
      <c r="C342" s="63" t="s">
        <v>239</v>
      </c>
      <c r="D342" s="52" t="s">
        <v>11</v>
      </c>
      <c r="E342" s="52" t="s">
        <v>34</v>
      </c>
      <c r="F342" s="53">
        <v>2</v>
      </c>
      <c r="G342" s="53">
        <v>8520</v>
      </c>
      <c r="H342" s="33" t="str">
        <f>VLOOKUP(B342,Sheet1!A:B,2,0)</f>
        <v>Shandong</v>
      </c>
      <c r="I342" s="33" t="str">
        <f>VLOOKUP(C342,Sheet1!C:D,2,0)</f>
        <v>Weihai</v>
      </c>
      <c r="J342" s="52" t="s">
        <v>11</v>
      </c>
      <c r="K342" s="52" t="s">
        <v>35</v>
      </c>
      <c r="L342" s="52" t="s">
        <v>427</v>
      </c>
      <c r="M342" s="53"/>
      <c r="N342" s="53"/>
      <c r="O342" s="59"/>
    </row>
    <row r="343" spans="2:15" ht="13.9" x14ac:dyDescent="0.35">
      <c r="B343" s="63" t="s">
        <v>229</v>
      </c>
      <c r="C343" s="63" t="s">
        <v>239</v>
      </c>
      <c r="D343" s="52" t="s">
        <v>258</v>
      </c>
      <c r="E343" s="52" t="s">
        <v>48</v>
      </c>
      <c r="F343" s="53">
        <v>2</v>
      </c>
      <c r="G343" s="53">
        <v>4800</v>
      </c>
      <c r="H343" s="33" t="str">
        <f>VLOOKUP(B343,Sheet1!A:B,2,0)</f>
        <v>Shandong</v>
      </c>
      <c r="I343" s="33" t="str">
        <f>VLOOKUP(C343,Sheet1!C:D,2,0)</f>
        <v>Weihai</v>
      </c>
      <c r="J343" s="52" t="s">
        <v>258</v>
      </c>
      <c r="K343" s="52" t="s">
        <v>50</v>
      </c>
      <c r="L343" s="52" t="s">
        <v>428</v>
      </c>
      <c r="M343" s="53"/>
      <c r="N343" s="53"/>
      <c r="O343" s="59"/>
    </row>
    <row r="344" spans="2:15" ht="13.9" x14ac:dyDescent="0.35">
      <c r="B344" s="63" t="s">
        <v>229</v>
      </c>
      <c r="C344" s="63" t="s">
        <v>239</v>
      </c>
      <c r="D344" s="52" t="s">
        <v>326</v>
      </c>
      <c r="E344" s="52" t="s">
        <v>48</v>
      </c>
      <c r="F344" s="53">
        <v>2</v>
      </c>
      <c r="G344" s="53">
        <v>9000</v>
      </c>
      <c r="H344" s="33" t="str">
        <f>VLOOKUP(B344,Sheet1!A:B,2,0)</f>
        <v>Shandong</v>
      </c>
      <c r="I344" s="33" t="str">
        <f>VLOOKUP(C344,Sheet1!C:D,2,0)</f>
        <v>Weihai</v>
      </c>
      <c r="J344" s="50" t="s">
        <v>49</v>
      </c>
      <c r="K344" s="52" t="s">
        <v>50</v>
      </c>
      <c r="L344" s="52" t="s">
        <v>429</v>
      </c>
      <c r="M344" s="53"/>
      <c r="N344" s="53"/>
      <c r="O344" s="59"/>
    </row>
    <row r="345" spans="2:15" ht="13.9" x14ac:dyDescent="0.35">
      <c r="B345" s="50" t="s">
        <v>32</v>
      </c>
      <c r="C345" s="51" t="s">
        <v>62</v>
      </c>
      <c r="D345" s="50" t="s">
        <v>7</v>
      </c>
      <c r="E345" s="52" t="s">
        <v>34</v>
      </c>
      <c r="F345" s="53">
        <v>1</v>
      </c>
      <c r="G345" s="53">
        <v>2460</v>
      </c>
      <c r="H345" s="33" t="str">
        <f>VLOOKUP(B345,Sheet1!A:B,2,0)</f>
        <v>Anhui</v>
      </c>
      <c r="I345" s="33" t="str">
        <f>VLOOKUP(C345,Sheet1!C:D,2,0)</f>
        <v>Xuancheng</v>
      </c>
      <c r="J345" s="50" t="s">
        <v>7</v>
      </c>
      <c r="K345" s="52" t="s">
        <v>35</v>
      </c>
      <c r="L345" s="52" t="s">
        <v>430</v>
      </c>
      <c r="M345" s="53"/>
      <c r="N345" s="53"/>
      <c r="O345" s="59"/>
    </row>
    <row r="346" spans="2:15" ht="13.9" x14ac:dyDescent="0.35">
      <c r="B346" s="50" t="s">
        <v>32</v>
      </c>
      <c r="C346" s="51" t="s">
        <v>62</v>
      </c>
      <c r="D346" s="50" t="s">
        <v>8</v>
      </c>
      <c r="E346" s="52" t="s">
        <v>34</v>
      </c>
      <c r="F346" s="53">
        <v>1</v>
      </c>
      <c r="G346" s="53">
        <v>2460</v>
      </c>
      <c r="H346" s="33" t="str">
        <f>VLOOKUP(B346,Sheet1!A:B,2,0)</f>
        <v>Anhui</v>
      </c>
      <c r="I346" s="33" t="str">
        <f>VLOOKUP(C346,Sheet1!C:D,2,0)</f>
        <v>Xuancheng</v>
      </c>
      <c r="J346" s="50" t="s">
        <v>8</v>
      </c>
      <c r="K346" s="52" t="s">
        <v>35</v>
      </c>
      <c r="L346" s="52" t="s">
        <v>431</v>
      </c>
      <c r="M346" s="53"/>
      <c r="N346" s="53"/>
      <c r="O346" s="59"/>
    </row>
    <row r="347" spans="2:15" ht="13.9" x14ac:dyDescent="0.35">
      <c r="B347" s="50" t="s">
        <v>32</v>
      </c>
      <c r="C347" s="51" t="s">
        <v>62</v>
      </c>
      <c r="D347" s="50" t="s">
        <v>9</v>
      </c>
      <c r="E347" s="52" t="s">
        <v>34</v>
      </c>
      <c r="F347" s="53">
        <v>1</v>
      </c>
      <c r="G347" s="53">
        <v>3480</v>
      </c>
      <c r="H347" s="33" t="str">
        <f>VLOOKUP(B347,Sheet1!A:B,2,0)</f>
        <v>Anhui</v>
      </c>
      <c r="I347" s="33" t="str">
        <f>VLOOKUP(C347,Sheet1!C:D,2,0)</f>
        <v>Xuancheng</v>
      </c>
      <c r="J347" s="50" t="s">
        <v>9</v>
      </c>
      <c r="K347" s="52" t="s">
        <v>35</v>
      </c>
      <c r="L347" s="52" t="s">
        <v>432</v>
      </c>
      <c r="M347" s="53"/>
      <c r="N347" s="53"/>
      <c r="O347" s="59"/>
    </row>
    <row r="348" spans="2:15" ht="13.9" x14ac:dyDescent="0.35">
      <c r="B348" s="50" t="s">
        <v>32</v>
      </c>
      <c r="C348" s="51" t="s">
        <v>62</v>
      </c>
      <c r="D348" s="50" t="s">
        <v>10</v>
      </c>
      <c r="E348" s="52" t="s">
        <v>34</v>
      </c>
      <c r="F348" s="53">
        <v>1</v>
      </c>
      <c r="G348" s="53">
        <v>3780</v>
      </c>
      <c r="H348" s="33" t="str">
        <f>VLOOKUP(B348,Sheet1!A:B,2,0)</f>
        <v>Anhui</v>
      </c>
      <c r="I348" s="33" t="str">
        <f>VLOOKUP(C348,Sheet1!C:D,2,0)</f>
        <v>Xuancheng</v>
      </c>
      <c r="J348" s="50" t="s">
        <v>10</v>
      </c>
      <c r="K348" s="52" t="s">
        <v>35</v>
      </c>
      <c r="L348" s="52" t="s">
        <v>433</v>
      </c>
      <c r="M348" s="53"/>
      <c r="N348" s="53"/>
      <c r="O348" s="59"/>
    </row>
    <row r="349" spans="2:15" ht="13.9" x14ac:dyDescent="0.35">
      <c r="B349" s="50" t="s">
        <v>32</v>
      </c>
      <c r="C349" s="51" t="s">
        <v>62</v>
      </c>
      <c r="D349" s="50" t="s">
        <v>258</v>
      </c>
      <c r="E349" s="52" t="s">
        <v>48</v>
      </c>
      <c r="F349" s="53">
        <v>1</v>
      </c>
      <c r="G349" s="53">
        <v>2604</v>
      </c>
      <c r="H349" s="33" t="str">
        <f>VLOOKUP(B349,Sheet1!A:B,2,0)</f>
        <v>Anhui</v>
      </c>
      <c r="I349" s="33" t="str">
        <f>VLOOKUP(C349,Sheet1!C:D,2,0)</f>
        <v>Xuancheng</v>
      </c>
      <c r="J349" s="50" t="s">
        <v>258</v>
      </c>
      <c r="K349" s="52" t="s">
        <v>50</v>
      </c>
      <c r="L349" s="52" t="s">
        <v>434</v>
      </c>
      <c r="M349" s="53"/>
      <c r="N349" s="53"/>
      <c r="O349" s="59"/>
    </row>
    <row r="350" spans="2:15" ht="13.9" x14ac:dyDescent="0.35">
      <c r="B350" s="50" t="s">
        <v>32</v>
      </c>
      <c r="C350" s="51" t="s">
        <v>62</v>
      </c>
      <c r="D350" s="50" t="s">
        <v>47</v>
      </c>
      <c r="E350" s="52" t="s">
        <v>48</v>
      </c>
      <c r="F350" s="53">
        <v>1</v>
      </c>
      <c r="G350" s="53">
        <v>3900</v>
      </c>
      <c r="H350" s="33" t="str">
        <f>VLOOKUP(B350,Sheet1!A:B,2,0)</f>
        <v>Anhui</v>
      </c>
      <c r="I350" s="33" t="str">
        <f>VLOOKUP(C350,Sheet1!C:D,2,0)</f>
        <v>Xuancheng</v>
      </c>
      <c r="J350" s="50" t="s">
        <v>49</v>
      </c>
      <c r="K350" s="52" t="s">
        <v>50</v>
      </c>
      <c r="L350" s="52" t="s">
        <v>435</v>
      </c>
      <c r="M350" s="53"/>
      <c r="N350" s="53"/>
      <c r="O350" s="59"/>
    </row>
    <row r="351" spans="2:15" ht="13.9" x14ac:dyDescent="0.35">
      <c r="B351" s="50" t="s">
        <v>191</v>
      </c>
      <c r="C351" s="63" t="s">
        <v>212</v>
      </c>
      <c r="D351" s="52" t="s">
        <v>4</v>
      </c>
      <c r="E351" s="52" t="s">
        <v>34</v>
      </c>
      <c r="F351" s="53">
        <v>2</v>
      </c>
      <c r="G351" s="53">
        <v>1260</v>
      </c>
      <c r="H351" s="33" t="str">
        <f>VLOOKUP(B351,Sheet1!A:B,2,0)</f>
        <v>Jiangsu</v>
      </c>
      <c r="I351" s="33" t="str">
        <f>VLOOKUP(C351,Sheet1!C:D,2,0)</f>
        <v>Yangzhou</v>
      </c>
      <c r="J351" s="52" t="s">
        <v>4</v>
      </c>
      <c r="K351" s="52" t="s">
        <v>35</v>
      </c>
      <c r="L351" s="52" t="s">
        <v>436</v>
      </c>
      <c r="M351" s="53"/>
      <c r="N351" s="53"/>
      <c r="O351" s="59"/>
    </row>
    <row r="352" spans="2:15" ht="13.9" x14ac:dyDescent="0.35">
      <c r="B352" s="50" t="s">
        <v>191</v>
      </c>
      <c r="C352" s="63" t="s">
        <v>212</v>
      </c>
      <c r="D352" s="52" t="s">
        <v>7</v>
      </c>
      <c r="E352" s="52" t="s">
        <v>34</v>
      </c>
      <c r="F352" s="53">
        <v>2</v>
      </c>
      <c r="G352" s="53">
        <v>2700</v>
      </c>
      <c r="H352" s="33" t="str">
        <f>VLOOKUP(B352,Sheet1!A:B,2,0)</f>
        <v>Jiangsu</v>
      </c>
      <c r="I352" s="33" t="str">
        <f>VLOOKUP(C352,Sheet1!C:D,2,0)</f>
        <v>Yangzhou</v>
      </c>
      <c r="J352" s="52" t="s">
        <v>7</v>
      </c>
      <c r="K352" s="52" t="s">
        <v>35</v>
      </c>
      <c r="L352" s="52" t="s">
        <v>437</v>
      </c>
      <c r="M352" s="53"/>
      <c r="N352" s="53"/>
      <c r="O352" s="59"/>
    </row>
    <row r="353" spans="2:15" ht="13.9" x14ac:dyDescent="0.35">
      <c r="B353" s="50" t="s">
        <v>191</v>
      </c>
      <c r="C353" s="63" t="s">
        <v>212</v>
      </c>
      <c r="D353" s="52" t="s">
        <v>9</v>
      </c>
      <c r="E353" s="52" t="s">
        <v>34</v>
      </c>
      <c r="F353" s="53">
        <v>2</v>
      </c>
      <c r="G353" s="53">
        <v>3672</v>
      </c>
      <c r="H353" s="33" t="str">
        <f>VLOOKUP(B353,Sheet1!A:B,2,0)</f>
        <v>Jiangsu</v>
      </c>
      <c r="I353" s="33" t="str">
        <f>VLOOKUP(C353,Sheet1!C:D,2,0)</f>
        <v>Yangzhou</v>
      </c>
      <c r="J353" s="52" t="s">
        <v>9</v>
      </c>
      <c r="K353" s="52" t="s">
        <v>35</v>
      </c>
      <c r="L353" s="52" t="s">
        <v>438</v>
      </c>
      <c r="M353" s="53"/>
      <c r="N353" s="53"/>
      <c r="O353" s="59"/>
    </row>
    <row r="354" spans="2:15" ht="13.9" x14ac:dyDescent="0.35">
      <c r="B354" s="50" t="s">
        <v>191</v>
      </c>
      <c r="C354" s="63" t="s">
        <v>212</v>
      </c>
      <c r="D354" s="52" t="s">
        <v>10</v>
      </c>
      <c r="E354" s="52" t="s">
        <v>34</v>
      </c>
      <c r="F354" s="53">
        <v>2</v>
      </c>
      <c r="G354" s="53">
        <v>4260</v>
      </c>
      <c r="H354" s="33" t="str">
        <f>VLOOKUP(B354,Sheet1!A:B,2,0)</f>
        <v>Jiangsu</v>
      </c>
      <c r="I354" s="33" t="str">
        <f>VLOOKUP(C354,Sheet1!C:D,2,0)</f>
        <v>Yangzhou</v>
      </c>
      <c r="J354" s="52" t="s">
        <v>10</v>
      </c>
      <c r="K354" s="52" t="s">
        <v>35</v>
      </c>
      <c r="L354" s="52" t="s">
        <v>439</v>
      </c>
      <c r="M354" s="53"/>
      <c r="N354" s="53"/>
      <c r="O354" s="59"/>
    </row>
    <row r="355" spans="2:15" ht="13.9" x14ac:dyDescent="0.35">
      <c r="B355" s="50" t="s">
        <v>191</v>
      </c>
      <c r="C355" s="63" t="s">
        <v>212</v>
      </c>
      <c r="D355" s="52" t="s">
        <v>11</v>
      </c>
      <c r="E355" s="52" t="s">
        <v>34</v>
      </c>
      <c r="F355" s="53">
        <v>2</v>
      </c>
      <c r="G355" s="53">
        <v>4296</v>
      </c>
      <c r="H355" s="33" t="str">
        <f>VLOOKUP(B355,Sheet1!A:B,2,0)</f>
        <v>Jiangsu</v>
      </c>
      <c r="I355" s="33" t="str">
        <f>VLOOKUP(C355,Sheet1!C:D,2,0)</f>
        <v>Yangzhou</v>
      </c>
      <c r="J355" s="52" t="s">
        <v>11</v>
      </c>
      <c r="K355" s="52" t="s">
        <v>35</v>
      </c>
      <c r="L355" s="52" t="s">
        <v>440</v>
      </c>
      <c r="M355" s="53"/>
      <c r="N355" s="53"/>
      <c r="O355" s="59"/>
    </row>
    <row r="356" spans="2:15" ht="13.9" x14ac:dyDescent="0.35">
      <c r="B356" s="50" t="s">
        <v>191</v>
      </c>
      <c r="C356" s="63" t="s">
        <v>212</v>
      </c>
      <c r="D356" s="52" t="s">
        <v>258</v>
      </c>
      <c r="E356" s="52" t="s">
        <v>48</v>
      </c>
      <c r="F356" s="53">
        <v>2</v>
      </c>
      <c r="G356" s="53">
        <v>2820</v>
      </c>
      <c r="H356" s="33" t="str">
        <f>VLOOKUP(B356,Sheet1!A:B,2,0)</f>
        <v>Jiangsu</v>
      </c>
      <c r="I356" s="33" t="str">
        <f>VLOOKUP(C356,Sheet1!C:D,2,0)</f>
        <v>Yangzhou</v>
      </c>
      <c r="J356" s="52" t="s">
        <v>258</v>
      </c>
      <c r="K356" s="52" t="s">
        <v>50</v>
      </c>
      <c r="L356" s="52" t="s">
        <v>441</v>
      </c>
      <c r="M356" s="53"/>
      <c r="N356" s="53"/>
      <c r="O356" s="59"/>
    </row>
    <row r="357" spans="2:15" ht="13.9" x14ac:dyDescent="0.35">
      <c r="B357" s="50" t="s">
        <v>191</v>
      </c>
      <c r="C357" s="63" t="s">
        <v>212</v>
      </c>
      <c r="D357" s="52" t="s">
        <v>326</v>
      </c>
      <c r="E357" s="52" t="s">
        <v>48</v>
      </c>
      <c r="F357" s="53">
        <v>2</v>
      </c>
      <c r="G357" s="53">
        <v>4080</v>
      </c>
      <c r="H357" s="33" t="str">
        <f>VLOOKUP(B357,Sheet1!A:B,2,0)</f>
        <v>Jiangsu</v>
      </c>
      <c r="I357" s="33" t="str">
        <f>VLOOKUP(C357,Sheet1!C:D,2,0)</f>
        <v>Yangzhou</v>
      </c>
      <c r="J357" s="50" t="s">
        <v>49</v>
      </c>
      <c r="K357" s="52" t="s">
        <v>50</v>
      </c>
      <c r="L357" s="52" t="s">
        <v>442</v>
      </c>
      <c r="M357" s="53"/>
      <c r="N357" s="53"/>
      <c r="O357" s="59"/>
    </row>
    <row r="358" spans="2:15" ht="13.9" x14ac:dyDescent="0.35">
      <c r="B358" s="63" t="s">
        <v>229</v>
      </c>
      <c r="C358" s="63" t="s">
        <v>241</v>
      </c>
      <c r="D358" s="52" t="s">
        <v>5</v>
      </c>
      <c r="E358" s="52" t="s">
        <v>34</v>
      </c>
      <c r="F358" s="53">
        <v>2</v>
      </c>
      <c r="G358" s="53">
        <v>4200</v>
      </c>
      <c r="H358" s="33" t="str">
        <f>VLOOKUP(B358,Sheet1!A:B,2,0)</f>
        <v>Shandong</v>
      </c>
      <c r="I358" s="33" t="str">
        <f>VLOOKUP(C358,Sheet1!C:D,2,0)</f>
        <v>Yantai</v>
      </c>
      <c r="J358" s="52" t="s">
        <v>5</v>
      </c>
      <c r="K358" s="52" t="s">
        <v>35</v>
      </c>
      <c r="L358" s="52" t="s">
        <v>443</v>
      </c>
      <c r="M358" s="53"/>
      <c r="N358" s="53"/>
      <c r="O358" s="59"/>
    </row>
    <row r="359" spans="2:15" ht="13.9" x14ac:dyDescent="0.35">
      <c r="B359" s="63" t="s">
        <v>229</v>
      </c>
      <c r="C359" s="63" t="s">
        <v>241</v>
      </c>
      <c r="D359" s="52" t="s">
        <v>6</v>
      </c>
      <c r="E359" s="52" t="s">
        <v>34</v>
      </c>
      <c r="F359" s="53">
        <v>2</v>
      </c>
      <c r="G359" s="53">
        <v>4200</v>
      </c>
      <c r="H359" s="33" t="str">
        <f>VLOOKUP(B359,Sheet1!A:B,2,0)</f>
        <v>Shandong</v>
      </c>
      <c r="I359" s="33" t="str">
        <f>VLOOKUP(C359,Sheet1!C:D,2,0)</f>
        <v>Yantai</v>
      </c>
      <c r="J359" s="52" t="s">
        <v>6</v>
      </c>
      <c r="K359" s="52" t="s">
        <v>35</v>
      </c>
      <c r="L359" s="52" t="s">
        <v>444</v>
      </c>
      <c r="M359" s="53"/>
      <c r="N359" s="53"/>
      <c r="O359" s="59"/>
    </row>
    <row r="360" spans="2:15" ht="13.9" x14ac:dyDescent="0.35">
      <c r="B360" s="63" t="s">
        <v>229</v>
      </c>
      <c r="C360" s="63" t="s">
        <v>241</v>
      </c>
      <c r="D360" s="52" t="s">
        <v>7</v>
      </c>
      <c r="E360" s="52" t="s">
        <v>34</v>
      </c>
      <c r="F360" s="53">
        <v>2</v>
      </c>
      <c r="G360" s="53">
        <v>4560</v>
      </c>
      <c r="H360" s="33" t="str">
        <f>VLOOKUP(B360,Sheet1!A:B,2,0)</f>
        <v>Shandong</v>
      </c>
      <c r="I360" s="33" t="str">
        <f>VLOOKUP(C360,Sheet1!C:D,2,0)</f>
        <v>Yantai</v>
      </c>
      <c r="J360" s="52" t="s">
        <v>7</v>
      </c>
      <c r="K360" s="52" t="s">
        <v>35</v>
      </c>
      <c r="L360" s="52" t="s">
        <v>445</v>
      </c>
      <c r="M360" s="53"/>
      <c r="N360" s="53"/>
      <c r="O360" s="59"/>
    </row>
    <row r="361" spans="2:15" ht="13.9" x14ac:dyDescent="0.35">
      <c r="B361" s="63" t="s">
        <v>229</v>
      </c>
      <c r="C361" s="63" t="s">
        <v>241</v>
      </c>
      <c r="D361" s="52" t="s">
        <v>8</v>
      </c>
      <c r="E361" s="52" t="s">
        <v>34</v>
      </c>
      <c r="F361" s="53">
        <v>2</v>
      </c>
      <c r="G361" s="53">
        <v>4560</v>
      </c>
      <c r="H361" s="33" t="str">
        <f>VLOOKUP(B361,Sheet1!A:B,2,0)</f>
        <v>Shandong</v>
      </c>
      <c r="I361" s="33" t="str">
        <f>VLOOKUP(C361,Sheet1!C:D,2,0)</f>
        <v>Yantai</v>
      </c>
      <c r="J361" s="52" t="s">
        <v>8</v>
      </c>
      <c r="K361" s="52" t="s">
        <v>35</v>
      </c>
      <c r="L361" s="52" t="s">
        <v>446</v>
      </c>
      <c r="M361" s="53"/>
      <c r="N361" s="53"/>
      <c r="O361" s="59"/>
    </row>
    <row r="362" spans="2:15" ht="13.9" x14ac:dyDescent="0.35">
      <c r="B362" s="63" t="s">
        <v>229</v>
      </c>
      <c r="C362" s="63" t="s">
        <v>241</v>
      </c>
      <c r="D362" s="52" t="s">
        <v>9</v>
      </c>
      <c r="E362" s="52" t="s">
        <v>34</v>
      </c>
      <c r="F362" s="53">
        <v>2</v>
      </c>
      <c r="G362" s="53">
        <v>7200</v>
      </c>
      <c r="H362" s="33" t="str">
        <f>VLOOKUP(B362,Sheet1!A:B,2,0)</f>
        <v>Shandong</v>
      </c>
      <c r="I362" s="33" t="str">
        <f>VLOOKUP(C362,Sheet1!C:D,2,0)</f>
        <v>Yantai</v>
      </c>
      <c r="J362" s="52" t="s">
        <v>9</v>
      </c>
      <c r="K362" s="52" t="s">
        <v>35</v>
      </c>
      <c r="L362" s="52" t="s">
        <v>447</v>
      </c>
      <c r="M362" s="53"/>
      <c r="N362" s="53"/>
      <c r="O362" s="59"/>
    </row>
    <row r="363" spans="2:15" ht="13.9" x14ac:dyDescent="0.35">
      <c r="B363" s="63" t="s">
        <v>229</v>
      </c>
      <c r="C363" s="63" t="s">
        <v>241</v>
      </c>
      <c r="D363" s="52" t="s">
        <v>10</v>
      </c>
      <c r="E363" s="52" t="s">
        <v>34</v>
      </c>
      <c r="F363" s="53">
        <v>2</v>
      </c>
      <c r="G363" s="53">
        <v>8400</v>
      </c>
      <c r="H363" s="33" t="str">
        <f>VLOOKUP(B363,Sheet1!A:B,2,0)</f>
        <v>Shandong</v>
      </c>
      <c r="I363" s="33" t="str">
        <f>VLOOKUP(C363,Sheet1!C:D,2,0)</f>
        <v>Yantai</v>
      </c>
      <c r="J363" s="52" t="s">
        <v>10</v>
      </c>
      <c r="K363" s="52" t="s">
        <v>35</v>
      </c>
      <c r="L363" s="52" t="s">
        <v>448</v>
      </c>
      <c r="M363" s="53"/>
      <c r="N363" s="53"/>
      <c r="O363" s="59"/>
    </row>
    <row r="364" spans="2:15" ht="13.9" x14ac:dyDescent="0.35">
      <c r="B364" s="63" t="s">
        <v>229</v>
      </c>
      <c r="C364" s="63" t="s">
        <v>241</v>
      </c>
      <c r="D364" s="52" t="s">
        <v>11</v>
      </c>
      <c r="E364" s="52" t="s">
        <v>34</v>
      </c>
      <c r="F364" s="53">
        <v>2</v>
      </c>
      <c r="G364" s="53">
        <v>8760</v>
      </c>
      <c r="H364" s="33" t="str">
        <f>VLOOKUP(B364,Sheet1!A:B,2,0)</f>
        <v>Shandong</v>
      </c>
      <c r="I364" s="33" t="str">
        <f>VLOOKUP(C364,Sheet1!C:D,2,0)</f>
        <v>Yantai</v>
      </c>
      <c r="J364" s="52" t="s">
        <v>11</v>
      </c>
      <c r="K364" s="52" t="s">
        <v>35</v>
      </c>
      <c r="L364" s="52" t="s">
        <v>449</v>
      </c>
      <c r="M364" s="53"/>
      <c r="N364" s="53"/>
      <c r="O364" s="59"/>
    </row>
    <row r="365" spans="2:15" ht="13.9" x14ac:dyDescent="0.35">
      <c r="B365" s="63" t="s">
        <v>229</v>
      </c>
      <c r="C365" s="63" t="s">
        <v>241</v>
      </c>
      <c r="D365" s="52" t="s">
        <v>258</v>
      </c>
      <c r="E365" s="52" t="s">
        <v>48</v>
      </c>
      <c r="F365" s="53">
        <v>2</v>
      </c>
      <c r="G365" s="53">
        <v>5400</v>
      </c>
      <c r="H365" s="33" t="str">
        <f>VLOOKUP(B365,Sheet1!A:B,2,0)</f>
        <v>Shandong</v>
      </c>
      <c r="I365" s="33" t="str">
        <f>VLOOKUP(C365,Sheet1!C:D,2,0)</f>
        <v>Yantai</v>
      </c>
      <c r="J365" s="52" t="s">
        <v>258</v>
      </c>
      <c r="K365" s="52" t="s">
        <v>50</v>
      </c>
      <c r="L365" s="52" t="s">
        <v>450</v>
      </c>
      <c r="M365" s="53"/>
      <c r="N365" s="53"/>
      <c r="O365" s="59"/>
    </row>
    <row r="366" spans="2:15" ht="13.9" x14ac:dyDescent="0.35">
      <c r="B366" s="63" t="s">
        <v>229</v>
      </c>
      <c r="C366" s="63" t="s">
        <v>241</v>
      </c>
      <c r="D366" s="52" t="s">
        <v>326</v>
      </c>
      <c r="E366" s="52" t="s">
        <v>48</v>
      </c>
      <c r="F366" s="53">
        <v>2</v>
      </c>
      <c r="G366" s="53">
        <v>8280</v>
      </c>
      <c r="H366" s="33" t="str">
        <f>VLOOKUP(B366,Sheet1!A:B,2,0)</f>
        <v>Shandong</v>
      </c>
      <c r="I366" s="33" t="str">
        <f>VLOOKUP(C366,Sheet1!C:D,2,0)</f>
        <v>Yantai</v>
      </c>
      <c r="J366" s="50" t="s">
        <v>49</v>
      </c>
      <c r="K366" s="52" t="s">
        <v>50</v>
      </c>
      <c r="L366" s="52" t="s">
        <v>451</v>
      </c>
      <c r="M366" s="53"/>
      <c r="N366" s="53"/>
      <c r="O366" s="59"/>
    </row>
    <row r="367" spans="2:15" ht="13.9" x14ac:dyDescent="0.35">
      <c r="B367" s="50" t="s">
        <v>80</v>
      </c>
      <c r="C367" s="51" t="s">
        <v>142</v>
      </c>
      <c r="D367" s="52" t="s">
        <v>4</v>
      </c>
      <c r="E367" s="52" t="s">
        <v>34</v>
      </c>
      <c r="F367" s="53">
        <v>3</v>
      </c>
      <c r="G367" s="53">
        <v>3540</v>
      </c>
      <c r="H367" s="33" t="str">
        <f>VLOOKUP(B367,Sheet1!A:B,2,0)</f>
        <v>Guangdong</v>
      </c>
      <c r="I367" s="33" t="str">
        <f>VLOOKUP(C367,Sheet1!C:D,2,0)</f>
        <v>Zhaoqing</v>
      </c>
      <c r="J367" s="52" t="s">
        <v>4</v>
      </c>
      <c r="K367" s="52" t="s">
        <v>35</v>
      </c>
      <c r="L367" s="52" t="s">
        <v>452</v>
      </c>
      <c r="M367" s="53"/>
      <c r="N367" s="53"/>
      <c r="O367" s="59"/>
    </row>
    <row r="368" spans="2:15" ht="13.9" x14ac:dyDescent="0.35">
      <c r="B368" s="50" t="s">
        <v>80</v>
      </c>
      <c r="C368" s="51" t="s">
        <v>142</v>
      </c>
      <c r="D368" s="52" t="s">
        <v>6</v>
      </c>
      <c r="E368" s="52" t="s">
        <v>34</v>
      </c>
      <c r="F368" s="53">
        <v>3</v>
      </c>
      <c r="G368" s="53">
        <v>5640</v>
      </c>
      <c r="H368" s="33" t="str">
        <f>VLOOKUP(B368,Sheet1!A:B,2,0)</f>
        <v>Guangdong</v>
      </c>
      <c r="I368" s="33" t="str">
        <f>VLOOKUP(C368,Sheet1!C:D,2,0)</f>
        <v>Zhaoqing</v>
      </c>
      <c r="J368" s="52" t="s">
        <v>6</v>
      </c>
      <c r="K368" s="52" t="s">
        <v>35</v>
      </c>
      <c r="L368" s="52" t="s">
        <v>453</v>
      </c>
      <c r="M368" s="53"/>
      <c r="N368" s="53"/>
      <c r="O368" s="59"/>
    </row>
    <row r="369" spans="2:15" ht="13.9" x14ac:dyDescent="0.35">
      <c r="B369" s="50" t="s">
        <v>80</v>
      </c>
      <c r="C369" s="51" t="s">
        <v>142</v>
      </c>
      <c r="D369" s="52" t="s">
        <v>7</v>
      </c>
      <c r="E369" s="52" t="s">
        <v>34</v>
      </c>
      <c r="F369" s="53">
        <v>3</v>
      </c>
      <c r="G369" s="53">
        <v>5580</v>
      </c>
      <c r="H369" s="33" t="str">
        <f>VLOOKUP(B369,Sheet1!A:B,2,0)</f>
        <v>Guangdong</v>
      </c>
      <c r="I369" s="33" t="str">
        <f>VLOOKUP(C369,Sheet1!C:D,2,0)</f>
        <v>Zhaoqing</v>
      </c>
      <c r="J369" s="52" t="s">
        <v>7</v>
      </c>
      <c r="K369" s="52" t="s">
        <v>35</v>
      </c>
      <c r="L369" s="52" t="s">
        <v>454</v>
      </c>
      <c r="M369" s="53"/>
      <c r="N369" s="53"/>
      <c r="O369" s="59"/>
    </row>
    <row r="370" spans="2:15" ht="13.9" x14ac:dyDescent="0.35">
      <c r="B370" s="50" t="s">
        <v>80</v>
      </c>
      <c r="C370" s="51" t="s">
        <v>142</v>
      </c>
      <c r="D370" s="52" t="s">
        <v>8</v>
      </c>
      <c r="E370" s="52" t="s">
        <v>34</v>
      </c>
      <c r="F370" s="53">
        <v>3</v>
      </c>
      <c r="G370" s="53">
        <v>5580</v>
      </c>
      <c r="H370" s="33" t="str">
        <f>VLOOKUP(B370,Sheet1!A:B,2,0)</f>
        <v>Guangdong</v>
      </c>
      <c r="I370" s="33" t="str">
        <f>VLOOKUP(C370,Sheet1!C:D,2,0)</f>
        <v>Zhaoqing</v>
      </c>
      <c r="J370" s="52" t="s">
        <v>8</v>
      </c>
      <c r="K370" s="52" t="s">
        <v>35</v>
      </c>
      <c r="L370" s="52" t="s">
        <v>455</v>
      </c>
      <c r="M370" s="53"/>
      <c r="N370" s="53"/>
      <c r="O370" s="59"/>
    </row>
    <row r="371" spans="2:15" ht="13.9" x14ac:dyDescent="0.35">
      <c r="B371" s="50" t="s">
        <v>80</v>
      </c>
      <c r="C371" s="51" t="s">
        <v>142</v>
      </c>
      <c r="D371" s="52" t="s">
        <v>9</v>
      </c>
      <c r="E371" s="52" t="s">
        <v>34</v>
      </c>
      <c r="F371" s="53">
        <v>3</v>
      </c>
      <c r="G371" s="53">
        <v>6960</v>
      </c>
      <c r="H371" s="33" t="str">
        <f>VLOOKUP(B371,Sheet1!A:B,2,0)</f>
        <v>Guangdong</v>
      </c>
      <c r="I371" s="33" t="str">
        <f>VLOOKUP(C371,Sheet1!C:D,2,0)</f>
        <v>Zhaoqing</v>
      </c>
      <c r="J371" s="52" t="s">
        <v>9</v>
      </c>
      <c r="K371" s="52" t="s">
        <v>35</v>
      </c>
      <c r="L371" s="52" t="s">
        <v>456</v>
      </c>
      <c r="M371" s="53"/>
      <c r="N371" s="53"/>
      <c r="O371" s="59"/>
    </row>
    <row r="372" spans="2:15" ht="13.9" x14ac:dyDescent="0.35">
      <c r="B372" s="50" t="s">
        <v>80</v>
      </c>
      <c r="C372" s="51" t="s">
        <v>142</v>
      </c>
      <c r="D372" s="52" t="s">
        <v>10</v>
      </c>
      <c r="E372" s="52" t="s">
        <v>34</v>
      </c>
      <c r="F372" s="53">
        <v>3</v>
      </c>
      <c r="G372" s="53">
        <v>8640</v>
      </c>
      <c r="H372" s="33" t="str">
        <f>VLOOKUP(B372,Sheet1!A:B,2,0)</f>
        <v>Guangdong</v>
      </c>
      <c r="I372" s="33" t="str">
        <f>VLOOKUP(C372,Sheet1!C:D,2,0)</f>
        <v>Zhaoqing</v>
      </c>
      <c r="J372" s="52" t="s">
        <v>10</v>
      </c>
      <c r="K372" s="52" t="s">
        <v>35</v>
      </c>
      <c r="L372" s="52" t="s">
        <v>457</v>
      </c>
      <c r="M372" s="53"/>
      <c r="N372" s="53"/>
      <c r="O372" s="59"/>
    </row>
    <row r="373" spans="2:15" ht="13.9" x14ac:dyDescent="0.35">
      <c r="B373" s="50" t="s">
        <v>80</v>
      </c>
      <c r="C373" s="51" t="s">
        <v>142</v>
      </c>
      <c r="D373" s="52" t="s">
        <v>11</v>
      </c>
      <c r="E373" s="52" t="s">
        <v>34</v>
      </c>
      <c r="F373" s="53">
        <v>3</v>
      </c>
      <c r="G373" s="53">
        <v>8640</v>
      </c>
      <c r="H373" s="33" t="str">
        <f>VLOOKUP(B373,Sheet1!A:B,2,0)</f>
        <v>Guangdong</v>
      </c>
      <c r="I373" s="33" t="str">
        <f>VLOOKUP(C373,Sheet1!C:D,2,0)</f>
        <v>Zhaoqing</v>
      </c>
      <c r="J373" s="52" t="s">
        <v>11</v>
      </c>
      <c r="K373" s="52" t="s">
        <v>35</v>
      </c>
      <c r="L373" s="52" t="s">
        <v>458</v>
      </c>
      <c r="M373" s="53"/>
      <c r="N373" s="53"/>
      <c r="O373" s="59"/>
    </row>
    <row r="374" spans="2:15" ht="13.9" x14ac:dyDescent="0.35">
      <c r="B374" s="50" t="s">
        <v>80</v>
      </c>
      <c r="C374" s="51" t="s">
        <v>142</v>
      </c>
      <c r="D374" s="52" t="s">
        <v>258</v>
      </c>
      <c r="E374" s="52" t="s">
        <v>48</v>
      </c>
      <c r="F374" s="53">
        <v>3</v>
      </c>
      <c r="G374" s="53">
        <v>5760</v>
      </c>
      <c r="H374" s="33" t="str">
        <f>VLOOKUP(B374,Sheet1!A:B,2,0)</f>
        <v>Guangdong</v>
      </c>
      <c r="I374" s="33" t="str">
        <f>VLOOKUP(C374,Sheet1!C:D,2,0)</f>
        <v>Zhaoqing</v>
      </c>
      <c r="J374" s="52" t="s">
        <v>258</v>
      </c>
      <c r="K374" s="52" t="s">
        <v>50</v>
      </c>
      <c r="L374" s="52" t="s">
        <v>459</v>
      </c>
      <c r="M374" s="53"/>
      <c r="N374" s="53"/>
      <c r="O374" s="59"/>
    </row>
    <row r="375" spans="2:15" ht="13.9" x14ac:dyDescent="0.35">
      <c r="B375" s="50" t="s">
        <v>80</v>
      </c>
      <c r="C375" s="51" t="s">
        <v>142</v>
      </c>
      <c r="D375" s="52" t="s">
        <v>326</v>
      </c>
      <c r="E375" s="52" t="s">
        <v>48</v>
      </c>
      <c r="F375" s="53">
        <v>3</v>
      </c>
      <c r="G375" s="53">
        <v>8640</v>
      </c>
      <c r="H375" s="33" t="str">
        <f>VLOOKUP(B375,Sheet1!A:B,2,0)</f>
        <v>Guangdong</v>
      </c>
      <c r="I375" s="33" t="str">
        <f>VLOOKUP(C375,Sheet1!C:D,2,0)</f>
        <v>Zhaoqing</v>
      </c>
      <c r="J375" s="50" t="s">
        <v>49</v>
      </c>
      <c r="K375" s="52" t="s">
        <v>50</v>
      </c>
      <c r="L375" s="52" t="s">
        <v>460</v>
      </c>
      <c r="M375" s="53"/>
      <c r="N375" s="53"/>
      <c r="O375" s="59"/>
    </row>
    <row r="376" spans="2:15" ht="13.9" x14ac:dyDescent="0.35">
      <c r="B376" s="50" t="s">
        <v>80</v>
      </c>
      <c r="C376" s="51" t="s">
        <v>144</v>
      </c>
      <c r="D376" s="50" t="s">
        <v>258</v>
      </c>
      <c r="E376" s="52" t="s">
        <v>48</v>
      </c>
      <c r="F376" s="53">
        <v>3</v>
      </c>
      <c r="G376" s="53">
        <v>5520</v>
      </c>
      <c r="H376" s="33" t="str">
        <f>VLOOKUP(B376,Sheet1!A:B,2,0)</f>
        <v>Guangdong</v>
      </c>
      <c r="I376" s="33" t="str">
        <f>VLOOKUP(C376,Sheet1!C:D,2,0)</f>
        <v>Zhongshan</v>
      </c>
      <c r="J376" s="50" t="s">
        <v>258</v>
      </c>
      <c r="K376" s="52" t="s">
        <v>50</v>
      </c>
      <c r="L376" s="52" t="s">
        <v>461</v>
      </c>
      <c r="M376" s="53"/>
      <c r="N376" s="53"/>
      <c r="O376" s="59"/>
    </row>
    <row r="377" spans="2:15" ht="13.9" x14ac:dyDescent="0.35">
      <c r="B377" s="50" t="s">
        <v>80</v>
      </c>
      <c r="C377" s="51" t="s">
        <v>144</v>
      </c>
      <c r="D377" s="50" t="s">
        <v>5</v>
      </c>
      <c r="E377" s="52" t="s">
        <v>34</v>
      </c>
      <c r="F377" s="53">
        <v>3</v>
      </c>
      <c r="G377" s="53">
        <v>4680</v>
      </c>
      <c r="H377" s="33" t="str">
        <f>VLOOKUP(B377,Sheet1!A:B,2,0)</f>
        <v>Guangdong</v>
      </c>
      <c r="I377" s="33" t="str">
        <f>VLOOKUP(C377,Sheet1!C:D,2,0)</f>
        <v>Zhongshan</v>
      </c>
      <c r="J377" s="50" t="s">
        <v>5</v>
      </c>
      <c r="K377" s="52" t="s">
        <v>35</v>
      </c>
      <c r="L377" s="52" t="s">
        <v>462</v>
      </c>
      <c r="M377" s="53"/>
      <c r="N377" s="53"/>
      <c r="O377" s="59"/>
    </row>
    <row r="378" spans="2:15" ht="13.9" x14ac:dyDescent="0.35">
      <c r="B378" s="50" t="s">
        <v>80</v>
      </c>
      <c r="C378" s="51" t="s">
        <v>144</v>
      </c>
      <c r="D378" s="50" t="s">
        <v>6</v>
      </c>
      <c r="E378" s="52" t="s">
        <v>34</v>
      </c>
      <c r="F378" s="53">
        <v>3</v>
      </c>
      <c r="G378" s="53">
        <v>5760</v>
      </c>
      <c r="H378" s="33" t="str">
        <f>VLOOKUP(B378,Sheet1!A:B,2,0)</f>
        <v>Guangdong</v>
      </c>
      <c r="I378" s="33" t="str">
        <f>VLOOKUP(C378,Sheet1!C:D,2,0)</f>
        <v>Zhongshan</v>
      </c>
      <c r="J378" s="50" t="s">
        <v>6</v>
      </c>
      <c r="K378" s="52" t="s">
        <v>35</v>
      </c>
      <c r="L378" s="52" t="s">
        <v>463</v>
      </c>
      <c r="M378" s="53"/>
      <c r="N378" s="53"/>
      <c r="O378" s="59"/>
    </row>
    <row r="379" spans="2:15" ht="13.9" x14ac:dyDescent="0.35">
      <c r="B379" s="50" t="s">
        <v>80</v>
      </c>
      <c r="C379" s="51" t="s">
        <v>144</v>
      </c>
      <c r="D379" s="50" t="s">
        <v>10</v>
      </c>
      <c r="E379" s="52" t="s">
        <v>34</v>
      </c>
      <c r="F379" s="53">
        <v>3</v>
      </c>
      <c r="G379" s="53">
        <v>8400</v>
      </c>
      <c r="H379" s="33" t="str">
        <f>VLOOKUP(B379,Sheet1!A:B,2,0)</f>
        <v>Guangdong</v>
      </c>
      <c r="I379" s="33" t="str">
        <f>VLOOKUP(C379,Sheet1!C:D,2,0)</f>
        <v>Zhongshan</v>
      </c>
      <c r="J379" s="50" t="s">
        <v>10</v>
      </c>
      <c r="K379" s="52" t="s">
        <v>35</v>
      </c>
      <c r="L379" s="52" t="s">
        <v>464</v>
      </c>
      <c r="M379" s="53"/>
      <c r="N379" s="53"/>
      <c r="O379" s="59"/>
    </row>
    <row r="380" spans="2:15" ht="13.9" x14ac:dyDescent="0.35">
      <c r="B380" s="50" t="s">
        <v>80</v>
      </c>
      <c r="C380" s="51" t="s">
        <v>151</v>
      </c>
      <c r="D380" s="62" t="s">
        <v>5</v>
      </c>
      <c r="E380" s="52" t="s">
        <v>34</v>
      </c>
      <c r="F380" s="53">
        <v>3</v>
      </c>
      <c r="G380" s="53">
        <v>4920</v>
      </c>
      <c r="H380" s="33" t="str">
        <f>VLOOKUP(B380,Sheet1!A:B,2,0)</f>
        <v>Guangdong</v>
      </c>
      <c r="I380" s="33" t="str">
        <f>VLOOKUP(C380,Sheet1!C:D,2,0)</f>
        <v>Zhuhai</v>
      </c>
      <c r="J380" s="62" t="s">
        <v>5</v>
      </c>
      <c r="K380" s="52" t="s">
        <v>35</v>
      </c>
      <c r="L380" s="52" t="s">
        <v>465</v>
      </c>
      <c r="M380" s="53"/>
      <c r="N380" s="53"/>
      <c r="O380" s="59"/>
    </row>
    <row r="381" spans="2:15" ht="13.9" x14ac:dyDescent="0.35">
      <c r="B381" s="50" t="s">
        <v>80</v>
      </c>
      <c r="C381" s="51" t="s">
        <v>151</v>
      </c>
      <c r="D381" s="62" t="s">
        <v>6</v>
      </c>
      <c r="E381" s="52" t="s">
        <v>34</v>
      </c>
      <c r="F381" s="53">
        <v>3</v>
      </c>
      <c r="G381" s="53">
        <v>5400</v>
      </c>
      <c r="H381" s="33" t="str">
        <f>VLOOKUP(B381,Sheet1!A:B,2,0)</f>
        <v>Guangdong</v>
      </c>
      <c r="I381" s="33" t="str">
        <f>VLOOKUP(C381,Sheet1!C:D,2,0)</f>
        <v>Zhuhai</v>
      </c>
      <c r="J381" s="62" t="s">
        <v>6</v>
      </c>
      <c r="K381" s="52" t="s">
        <v>35</v>
      </c>
      <c r="L381" s="52" t="s">
        <v>466</v>
      </c>
      <c r="M381" s="53"/>
      <c r="N381" s="53"/>
      <c r="O381" s="59"/>
    </row>
    <row r="382" spans="2:15" ht="13.9" x14ac:dyDescent="0.35">
      <c r="B382" s="50" t="s">
        <v>80</v>
      </c>
      <c r="C382" s="51" t="s">
        <v>151</v>
      </c>
      <c r="D382" s="62" t="s">
        <v>7</v>
      </c>
      <c r="E382" s="52" t="s">
        <v>34</v>
      </c>
      <c r="F382" s="53">
        <v>3</v>
      </c>
      <c r="G382" s="53">
        <v>6000</v>
      </c>
      <c r="H382" s="33" t="str">
        <f>VLOOKUP(B382,Sheet1!A:B,2,0)</f>
        <v>Guangdong</v>
      </c>
      <c r="I382" s="33" t="str">
        <f>VLOOKUP(C382,Sheet1!C:D,2,0)</f>
        <v>Zhuhai</v>
      </c>
      <c r="J382" s="62" t="s">
        <v>7</v>
      </c>
      <c r="K382" s="52" t="s">
        <v>35</v>
      </c>
      <c r="L382" s="52" t="s">
        <v>467</v>
      </c>
      <c r="M382" s="53"/>
      <c r="N382" s="53"/>
      <c r="O382" s="59"/>
    </row>
    <row r="383" spans="2:15" ht="13.9" x14ac:dyDescent="0.35">
      <c r="B383" s="50" t="s">
        <v>80</v>
      </c>
      <c r="C383" s="51" t="s">
        <v>151</v>
      </c>
      <c r="D383" s="62" t="s">
        <v>8</v>
      </c>
      <c r="E383" s="52" t="s">
        <v>34</v>
      </c>
      <c r="F383" s="53">
        <v>3</v>
      </c>
      <c r="G383" s="53">
        <v>6000</v>
      </c>
      <c r="H383" s="33" t="str">
        <f>VLOOKUP(B383,Sheet1!A:B,2,0)</f>
        <v>Guangdong</v>
      </c>
      <c r="I383" s="33" t="str">
        <f>VLOOKUP(C383,Sheet1!C:D,2,0)</f>
        <v>Zhuhai</v>
      </c>
      <c r="J383" s="62" t="s">
        <v>8</v>
      </c>
      <c r="K383" s="52" t="s">
        <v>35</v>
      </c>
      <c r="L383" s="52" t="s">
        <v>468</v>
      </c>
      <c r="M383" s="53"/>
      <c r="N383" s="53"/>
      <c r="O383" s="59"/>
    </row>
    <row r="384" spans="2:15" ht="13.9" x14ac:dyDescent="0.35">
      <c r="B384" s="50" t="s">
        <v>80</v>
      </c>
      <c r="C384" s="51" t="s">
        <v>151</v>
      </c>
      <c r="D384" s="62" t="s">
        <v>9</v>
      </c>
      <c r="E384" s="52" t="s">
        <v>34</v>
      </c>
      <c r="F384" s="53">
        <v>3</v>
      </c>
      <c r="G384" s="53">
        <v>7800</v>
      </c>
      <c r="H384" s="33" t="str">
        <f>VLOOKUP(B384,Sheet1!A:B,2,0)</f>
        <v>Guangdong</v>
      </c>
      <c r="I384" s="33" t="str">
        <f>VLOOKUP(C384,Sheet1!C:D,2,0)</f>
        <v>Zhuhai</v>
      </c>
      <c r="J384" s="62" t="s">
        <v>9</v>
      </c>
      <c r="K384" s="52" t="s">
        <v>35</v>
      </c>
      <c r="L384" s="52" t="s">
        <v>469</v>
      </c>
      <c r="M384" s="53"/>
      <c r="N384" s="53"/>
      <c r="O384" s="59"/>
    </row>
    <row r="385" spans="2:15" ht="13.9" x14ac:dyDescent="0.35">
      <c r="B385" s="50" t="s">
        <v>80</v>
      </c>
      <c r="C385" s="51" t="s">
        <v>151</v>
      </c>
      <c r="D385" s="50" t="s">
        <v>258</v>
      </c>
      <c r="E385" s="52" t="s">
        <v>48</v>
      </c>
      <c r="F385" s="53">
        <v>3</v>
      </c>
      <c r="G385" s="53">
        <v>6240</v>
      </c>
      <c r="H385" s="33" t="str">
        <f>VLOOKUP(B385,Sheet1!A:B,2,0)</f>
        <v>Guangdong</v>
      </c>
      <c r="I385" s="33" t="str">
        <f>VLOOKUP(C385,Sheet1!C:D,2,0)</f>
        <v>Zhuhai</v>
      </c>
      <c r="J385" s="50" t="s">
        <v>258</v>
      </c>
      <c r="K385" s="52" t="s">
        <v>50</v>
      </c>
      <c r="L385" s="52" t="s">
        <v>470</v>
      </c>
      <c r="M385" s="53"/>
      <c r="N385" s="53"/>
      <c r="O385" s="59"/>
    </row>
    <row r="386" spans="2:15" ht="13.9" x14ac:dyDescent="0.35">
      <c r="B386" s="50" t="s">
        <v>80</v>
      </c>
      <c r="C386" s="51" t="s">
        <v>151</v>
      </c>
      <c r="D386" s="62" t="s">
        <v>10</v>
      </c>
      <c r="E386" s="52" t="s">
        <v>34</v>
      </c>
      <c r="F386" s="53">
        <v>3</v>
      </c>
      <c r="G386" s="53">
        <v>9000</v>
      </c>
      <c r="H386" s="33" t="str">
        <f>VLOOKUP(B386,Sheet1!A:B,2,0)</f>
        <v>Guangdong</v>
      </c>
      <c r="I386" s="33" t="str">
        <f>VLOOKUP(C386,Sheet1!C:D,2,0)</f>
        <v>Zhuhai</v>
      </c>
      <c r="J386" s="62" t="s">
        <v>10</v>
      </c>
      <c r="K386" s="52" t="s">
        <v>35</v>
      </c>
      <c r="L386" s="52" t="s">
        <v>471</v>
      </c>
      <c r="M386" s="53"/>
      <c r="N386" s="53"/>
      <c r="O386" s="59"/>
    </row>
    <row r="387" spans="2:15" ht="13.9" x14ac:dyDescent="0.35">
      <c r="B387" s="50" t="s">
        <v>80</v>
      </c>
      <c r="C387" s="51" t="s">
        <v>151</v>
      </c>
      <c r="D387" s="62" t="s">
        <v>11</v>
      </c>
      <c r="E387" s="52" t="s">
        <v>34</v>
      </c>
      <c r="F387" s="53">
        <v>3</v>
      </c>
      <c r="G387" s="53">
        <v>9000</v>
      </c>
      <c r="H387" s="33" t="str">
        <f>VLOOKUP(B387,Sheet1!A:B,2,0)</f>
        <v>Guangdong</v>
      </c>
      <c r="I387" s="33" t="str">
        <f>VLOOKUP(C387,Sheet1!C:D,2,0)</f>
        <v>Zhuhai</v>
      </c>
      <c r="J387" s="62" t="s">
        <v>11</v>
      </c>
      <c r="K387" s="52" t="s">
        <v>35</v>
      </c>
      <c r="L387" s="52" t="s">
        <v>472</v>
      </c>
      <c r="M387" s="53"/>
      <c r="N387" s="53"/>
      <c r="O387" s="59"/>
    </row>
    <row r="388" spans="2:15" ht="13.9" x14ac:dyDescent="0.35">
      <c r="B388" s="50" t="s">
        <v>180</v>
      </c>
      <c r="C388" s="51" t="s">
        <v>188</v>
      </c>
      <c r="D388" s="52" t="s">
        <v>4</v>
      </c>
      <c r="E388" s="52" t="s">
        <v>34</v>
      </c>
      <c r="F388" s="53">
        <v>2</v>
      </c>
      <c r="G388" s="53">
        <v>3120</v>
      </c>
      <c r="H388" s="33" t="str">
        <f>VLOOKUP(B388,Sheet1!A:B,2,0)</f>
        <v>Hunan</v>
      </c>
      <c r="I388" s="33" t="str">
        <f>VLOOKUP(C388,Sheet1!C:D,2,0)</f>
        <v>Zixing</v>
      </c>
      <c r="J388" s="52" t="s">
        <v>4</v>
      </c>
      <c r="K388" s="52" t="s">
        <v>35</v>
      </c>
      <c r="L388" s="52" t="s">
        <v>473</v>
      </c>
      <c r="M388" s="53"/>
      <c r="N388" s="53"/>
      <c r="O388" s="59"/>
    </row>
    <row r="389" spans="2:15" ht="13.9" x14ac:dyDescent="0.35">
      <c r="B389" s="50" t="s">
        <v>180</v>
      </c>
      <c r="C389" s="51" t="s">
        <v>188</v>
      </c>
      <c r="D389" s="52" t="s">
        <v>5</v>
      </c>
      <c r="E389" s="52" t="s">
        <v>34</v>
      </c>
      <c r="F389" s="53">
        <v>2</v>
      </c>
      <c r="G389" s="53">
        <v>3840</v>
      </c>
      <c r="H389" s="33" t="str">
        <f>VLOOKUP(B389,Sheet1!A:B,2,0)</f>
        <v>Hunan</v>
      </c>
      <c r="I389" s="33" t="str">
        <f>VLOOKUP(C389,Sheet1!C:D,2,0)</f>
        <v>Zixing</v>
      </c>
      <c r="J389" s="52" t="s">
        <v>5</v>
      </c>
      <c r="K389" s="52" t="s">
        <v>35</v>
      </c>
      <c r="L389" s="52" t="s">
        <v>474</v>
      </c>
      <c r="M389" s="53"/>
      <c r="N389" s="53"/>
      <c r="O389" s="59"/>
    </row>
    <row r="390" spans="2:15" ht="13.9" x14ac:dyDescent="0.35">
      <c r="B390" s="50" t="s">
        <v>180</v>
      </c>
      <c r="C390" s="51" t="s">
        <v>188</v>
      </c>
      <c r="D390" s="52" t="s">
        <v>7</v>
      </c>
      <c r="E390" s="52" t="s">
        <v>34</v>
      </c>
      <c r="F390" s="53">
        <v>2</v>
      </c>
      <c r="G390" s="53">
        <v>5160</v>
      </c>
      <c r="H390" s="33" t="str">
        <f>VLOOKUP(B390,Sheet1!A:B,2,0)</f>
        <v>Hunan</v>
      </c>
      <c r="I390" s="33" t="str">
        <f>VLOOKUP(C390,Sheet1!C:D,2,0)</f>
        <v>Zixing</v>
      </c>
      <c r="J390" s="52" t="s">
        <v>7</v>
      </c>
      <c r="K390" s="52" t="s">
        <v>35</v>
      </c>
      <c r="L390" s="52" t="s">
        <v>475</v>
      </c>
      <c r="M390" s="53"/>
      <c r="N390" s="53"/>
      <c r="O390" s="59"/>
    </row>
    <row r="391" spans="2:15" ht="13.9" x14ac:dyDescent="0.35">
      <c r="B391" s="50" t="s">
        <v>180</v>
      </c>
      <c r="C391" s="51" t="s">
        <v>188</v>
      </c>
      <c r="D391" s="52" t="s">
        <v>9</v>
      </c>
      <c r="E391" s="52" t="s">
        <v>34</v>
      </c>
      <c r="F391" s="53">
        <v>2</v>
      </c>
      <c r="G391" s="53">
        <v>8160</v>
      </c>
      <c r="H391" s="33" t="str">
        <f>VLOOKUP(B391,Sheet1!A:B,2,0)</f>
        <v>Hunan</v>
      </c>
      <c r="I391" s="33" t="str">
        <f>VLOOKUP(C391,Sheet1!C:D,2,0)</f>
        <v>Zixing</v>
      </c>
      <c r="J391" s="52" t="s">
        <v>9</v>
      </c>
      <c r="K391" s="52" t="s">
        <v>35</v>
      </c>
      <c r="L391" s="52" t="s">
        <v>476</v>
      </c>
      <c r="M391" s="53"/>
      <c r="N391" s="53"/>
      <c r="O391" s="59"/>
    </row>
    <row r="392" spans="2:15" ht="13.9" x14ac:dyDescent="0.35">
      <c r="B392" s="50" t="s">
        <v>180</v>
      </c>
      <c r="C392" s="51" t="s">
        <v>188</v>
      </c>
      <c r="D392" s="52" t="s">
        <v>10</v>
      </c>
      <c r="E392" s="52" t="s">
        <v>34</v>
      </c>
      <c r="F392" s="53">
        <v>2</v>
      </c>
      <c r="G392" s="53">
        <v>8400</v>
      </c>
      <c r="H392" s="33" t="str">
        <f>VLOOKUP(B392,Sheet1!A:B,2,0)</f>
        <v>Hunan</v>
      </c>
      <c r="I392" s="33" t="str">
        <f>VLOOKUP(C392,Sheet1!C:D,2,0)</f>
        <v>Zixing</v>
      </c>
      <c r="J392" s="52" t="s">
        <v>10</v>
      </c>
      <c r="K392" s="52" t="s">
        <v>35</v>
      </c>
      <c r="L392" s="52" t="s">
        <v>477</v>
      </c>
      <c r="M392" s="53"/>
      <c r="N392" s="53"/>
      <c r="O392" s="59"/>
    </row>
    <row r="393" spans="2:15" ht="13.9" x14ac:dyDescent="0.35">
      <c r="B393" s="50" t="s">
        <v>180</v>
      </c>
      <c r="C393" s="51" t="s">
        <v>188</v>
      </c>
      <c r="D393" s="52" t="s">
        <v>11</v>
      </c>
      <c r="E393" s="52" t="s">
        <v>34</v>
      </c>
      <c r="F393" s="53">
        <v>2</v>
      </c>
      <c r="G393" s="53">
        <v>8400</v>
      </c>
      <c r="H393" s="33" t="str">
        <f>VLOOKUP(B393,Sheet1!A:B,2,0)</f>
        <v>Hunan</v>
      </c>
      <c r="I393" s="33" t="str">
        <f>VLOOKUP(C393,Sheet1!C:D,2,0)</f>
        <v>Zixing</v>
      </c>
      <c r="J393" s="52" t="s">
        <v>11</v>
      </c>
      <c r="K393" s="52" t="s">
        <v>35</v>
      </c>
      <c r="L393" s="52" t="s">
        <v>478</v>
      </c>
      <c r="M393" s="53"/>
      <c r="N393" s="53"/>
      <c r="O393" s="59"/>
    </row>
    <row r="394" spans="2:15" ht="13.9" x14ac:dyDescent="0.35">
      <c r="B394" s="50" t="s">
        <v>180</v>
      </c>
      <c r="C394" s="51" t="s">
        <v>188</v>
      </c>
      <c r="D394" s="52" t="s">
        <v>258</v>
      </c>
      <c r="E394" s="52" t="s">
        <v>48</v>
      </c>
      <c r="F394" s="53">
        <v>2</v>
      </c>
      <c r="G394" s="53">
        <v>5460</v>
      </c>
      <c r="H394" s="33" t="str">
        <f>VLOOKUP(B394,Sheet1!A:B,2,0)</f>
        <v>Hunan</v>
      </c>
      <c r="I394" s="33" t="str">
        <f>VLOOKUP(C394,Sheet1!C:D,2,0)</f>
        <v>Zixing</v>
      </c>
      <c r="J394" s="52" t="s">
        <v>258</v>
      </c>
      <c r="K394" s="52" t="s">
        <v>50</v>
      </c>
      <c r="L394" s="52" t="s">
        <v>479</v>
      </c>
      <c r="M394" s="53"/>
      <c r="N394" s="53"/>
      <c r="O394" s="59"/>
    </row>
    <row r="395" spans="2:15" ht="13.9" x14ac:dyDescent="0.35">
      <c r="B395" s="50" t="s">
        <v>180</v>
      </c>
      <c r="C395" s="51" t="s">
        <v>188</v>
      </c>
      <c r="D395" s="52" t="s">
        <v>326</v>
      </c>
      <c r="E395" s="52" t="s">
        <v>48</v>
      </c>
      <c r="F395" s="53">
        <v>2</v>
      </c>
      <c r="G395" s="53">
        <v>9000</v>
      </c>
      <c r="H395" s="33" t="str">
        <f>VLOOKUP(B395,Sheet1!A:B,2,0)</f>
        <v>Hunan</v>
      </c>
      <c r="I395" s="33" t="str">
        <f>VLOOKUP(C395,Sheet1!C:D,2,0)</f>
        <v>Zixing</v>
      </c>
      <c r="J395" s="50" t="s">
        <v>49</v>
      </c>
      <c r="K395" s="52" t="s">
        <v>50</v>
      </c>
      <c r="L395" s="52" t="s">
        <v>480</v>
      </c>
      <c r="M395" s="53"/>
      <c r="N395" s="53"/>
      <c r="O395" s="59"/>
    </row>
    <row r="396" spans="2:15" ht="13.9" x14ac:dyDescent="0.35">
      <c r="B396" s="65" t="s">
        <v>154</v>
      </c>
      <c r="C396" s="65" t="s">
        <v>481</v>
      </c>
      <c r="D396" s="52" t="s">
        <v>4</v>
      </c>
      <c r="E396" s="52" t="s">
        <v>34</v>
      </c>
      <c r="F396" s="53">
        <v>4</v>
      </c>
      <c r="G396" s="53">
        <v>4560</v>
      </c>
      <c r="H396" s="33" t="str">
        <f>VLOOKUP(B396,Sheet1!A:B,2,0)</f>
        <v>Guangxi</v>
      </c>
      <c r="I396" s="33" t="str">
        <f>VLOOKUP(C396,Sheet1!C:D,2,0)</f>
        <v>Beihai</v>
      </c>
      <c r="J396" s="52" t="s">
        <v>4</v>
      </c>
      <c r="K396" s="52" t="s">
        <v>35</v>
      </c>
      <c r="L396" s="52" t="s">
        <v>482</v>
      </c>
      <c r="M396" s="53"/>
      <c r="N396" s="53"/>
      <c r="O396" s="59"/>
    </row>
    <row r="397" spans="2:15" ht="13.9" x14ac:dyDescent="0.35">
      <c r="B397" s="65" t="s">
        <v>154</v>
      </c>
      <c r="C397" s="65" t="s">
        <v>481</v>
      </c>
      <c r="D397" s="52" t="s">
        <v>5</v>
      </c>
      <c r="E397" s="52" t="s">
        <v>34</v>
      </c>
      <c r="F397" s="53">
        <v>4</v>
      </c>
      <c r="G397" s="53">
        <v>6360</v>
      </c>
      <c r="H397" s="33" t="str">
        <f>VLOOKUP(B397,Sheet1!A:B,2,0)</f>
        <v>Guangxi</v>
      </c>
      <c r="I397" s="33" t="str">
        <f>VLOOKUP(C397,Sheet1!C:D,2,0)</f>
        <v>Beihai</v>
      </c>
      <c r="J397" s="52" t="s">
        <v>5</v>
      </c>
      <c r="K397" s="52" t="s">
        <v>35</v>
      </c>
      <c r="L397" s="52" t="s">
        <v>483</v>
      </c>
      <c r="M397" s="53"/>
      <c r="N397" s="53"/>
      <c r="O397" s="59"/>
    </row>
    <row r="398" spans="2:15" ht="13.9" x14ac:dyDescent="0.35">
      <c r="B398" s="65" t="s">
        <v>154</v>
      </c>
      <c r="C398" s="65" t="s">
        <v>481</v>
      </c>
      <c r="D398" s="52" t="s">
        <v>6</v>
      </c>
      <c r="E398" s="52" t="s">
        <v>34</v>
      </c>
      <c r="F398" s="53">
        <v>4</v>
      </c>
      <c r="G398" s="53">
        <v>7440</v>
      </c>
      <c r="H398" s="33" t="str">
        <f>VLOOKUP(B398,Sheet1!A:B,2,0)</f>
        <v>Guangxi</v>
      </c>
      <c r="I398" s="33" t="str">
        <f>VLOOKUP(C398,Sheet1!C:D,2,0)</f>
        <v>Beihai</v>
      </c>
      <c r="J398" s="52" t="s">
        <v>6</v>
      </c>
      <c r="K398" s="52" t="s">
        <v>35</v>
      </c>
      <c r="L398" s="52" t="s">
        <v>484</v>
      </c>
      <c r="M398" s="53"/>
      <c r="N398" s="53"/>
      <c r="O398" s="59"/>
    </row>
    <row r="399" spans="2:15" ht="13.9" x14ac:dyDescent="0.35">
      <c r="B399" s="65" t="s">
        <v>154</v>
      </c>
      <c r="C399" s="65" t="s">
        <v>481</v>
      </c>
      <c r="D399" s="52" t="s">
        <v>7</v>
      </c>
      <c r="E399" s="52" t="s">
        <v>34</v>
      </c>
      <c r="F399" s="53">
        <v>4</v>
      </c>
      <c r="G399" s="53">
        <v>8100</v>
      </c>
      <c r="H399" s="33" t="str">
        <f>VLOOKUP(B399,Sheet1!A:B,2,0)</f>
        <v>Guangxi</v>
      </c>
      <c r="I399" s="33" t="str">
        <f>VLOOKUP(C399,Sheet1!C:D,2,0)</f>
        <v>Beihai</v>
      </c>
      <c r="J399" s="52" t="s">
        <v>7</v>
      </c>
      <c r="K399" s="52" t="s">
        <v>35</v>
      </c>
      <c r="L399" s="52" t="s">
        <v>485</v>
      </c>
      <c r="M399" s="53"/>
      <c r="N399" s="53"/>
      <c r="O399" s="59"/>
    </row>
    <row r="400" spans="2:15" ht="13.9" x14ac:dyDescent="0.35">
      <c r="B400" s="65" t="s">
        <v>154</v>
      </c>
      <c r="C400" s="65" t="s">
        <v>481</v>
      </c>
      <c r="D400" s="52" t="s">
        <v>8</v>
      </c>
      <c r="E400" s="52" t="s">
        <v>34</v>
      </c>
      <c r="F400" s="53">
        <v>4</v>
      </c>
      <c r="G400" s="53">
        <v>8100</v>
      </c>
      <c r="H400" s="33" t="str">
        <f>VLOOKUP(B400,Sheet1!A:B,2,0)</f>
        <v>Guangxi</v>
      </c>
      <c r="I400" s="33" t="str">
        <f>VLOOKUP(C400,Sheet1!C:D,2,0)</f>
        <v>Beihai</v>
      </c>
      <c r="J400" s="52" t="s">
        <v>8</v>
      </c>
      <c r="K400" s="52" t="s">
        <v>35</v>
      </c>
      <c r="L400" s="52" t="s">
        <v>486</v>
      </c>
      <c r="M400" s="53"/>
      <c r="N400" s="53"/>
      <c r="O400" s="59"/>
    </row>
    <row r="401" spans="2:15" ht="13.9" x14ac:dyDescent="0.35">
      <c r="B401" s="65" t="s">
        <v>154</v>
      </c>
      <c r="C401" s="65" t="s">
        <v>481</v>
      </c>
      <c r="D401" s="52" t="s">
        <v>9</v>
      </c>
      <c r="E401" s="52" t="s">
        <v>34</v>
      </c>
      <c r="F401" s="53">
        <v>4</v>
      </c>
      <c r="G401" s="53">
        <v>11100</v>
      </c>
      <c r="H401" s="33" t="str">
        <f>VLOOKUP(B401,Sheet1!A:B,2,0)</f>
        <v>Guangxi</v>
      </c>
      <c r="I401" s="33" t="str">
        <f>VLOOKUP(C401,Sheet1!C:D,2,0)</f>
        <v>Beihai</v>
      </c>
      <c r="J401" s="52" t="s">
        <v>9</v>
      </c>
      <c r="K401" s="52" t="s">
        <v>35</v>
      </c>
      <c r="L401" s="52" t="s">
        <v>487</v>
      </c>
      <c r="M401" s="53"/>
      <c r="N401" s="53"/>
      <c r="O401" s="59"/>
    </row>
    <row r="402" spans="2:15" ht="13.9" x14ac:dyDescent="0.35">
      <c r="B402" s="65" t="s">
        <v>154</v>
      </c>
      <c r="C402" s="65" t="s">
        <v>481</v>
      </c>
      <c r="D402" s="52" t="s">
        <v>10</v>
      </c>
      <c r="E402" s="52" t="s">
        <v>34</v>
      </c>
      <c r="F402" s="53">
        <v>4</v>
      </c>
      <c r="G402" s="53">
        <v>11880</v>
      </c>
      <c r="H402" s="33" t="str">
        <f>VLOOKUP(B402,Sheet1!A:B,2,0)</f>
        <v>Guangxi</v>
      </c>
      <c r="I402" s="33" t="str">
        <f>VLOOKUP(C402,Sheet1!C:D,2,0)</f>
        <v>Beihai</v>
      </c>
      <c r="J402" s="52" t="s">
        <v>10</v>
      </c>
      <c r="K402" s="52" t="s">
        <v>35</v>
      </c>
      <c r="L402" s="52" t="s">
        <v>488</v>
      </c>
      <c r="M402" s="53"/>
      <c r="N402" s="53"/>
      <c r="O402" s="59"/>
    </row>
    <row r="403" spans="2:15" ht="13.9" x14ac:dyDescent="0.35">
      <c r="B403" s="65" t="s">
        <v>154</v>
      </c>
      <c r="C403" s="65" t="s">
        <v>481</v>
      </c>
      <c r="D403" s="52" t="s">
        <v>11</v>
      </c>
      <c r="E403" s="52" t="s">
        <v>34</v>
      </c>
      <c r="F403" s="53">
        <v>4</v>
      </c>
      <c r="G403" s="53">
        <v>12120</v>
      </c>
      <c r="H403" s="33" t="str">
        <f>VLOOKUP(B403,Sheet1!A:B,2,0)</f>
        <v>Guangxi</v>
      </c>
      <c r="I403" s="33" t="str">
        <f>VLOOKUP(C403,Sheet1!C:D,2,0)</f>
        <v>Beihai</v>
      </c>
      <c r="J403" s="52" t="s">
        <v>11</v>
      </c>
      <c r="K403" s="52" t="s">
        <v>35</v>
      </c>
      <c r="L403" s="52" t="s">
        <v>489</v>
      </c>
      <c r="M403" s="53"/>
      <c r="N403" s="53"/>
      <c r="O403" s="59"/>
    </row>
    <row r="404" spans="2:15" ht="13.9" x14ac:dyDescent="0.35">
      <c r="B404" s="65" t="s">
        <v>154</v>
      </c>
      <c r="C404" s="65" t="s">
        <v>481</v>
      </c>
      <c r="D404" s="52" t="s">
        <v>258</v>
      </c>
      <c r="E404" s="52" t="s">
        <v>48</v>
      </c>
      <c r="F404" s="53">
        <v>4</v>
      </c>
      <c r="G404" s="53">
        <v>8580</v>
      </c>
      <c r="H404" s="33" t="str">
        <f>VLOOKUP(B404,Sheet1!A:B,2,0)</f>
        <v>Guangxi</v>
      </c>
      <c r="I404" s="33" t="str">
        <f>VLOOKUP(C404,Sheet1!C:D,2,0)</f>
        <v>Beihai</v>
      </c>
      <c r="J404" s="52" t="s">
        <v>258</v>
      </c>
      <c r="K404" s="52" t="s">
        <v>50</v>
      </c>
      <c r="L404" s="52" t="s">
        <v>490</v>
      </c>
      <c r="M404" s="53"/>
      <c r="N404" s="53"/>
      <c r="O404" s="59"/>
    </row>
    <row r="405" spans="2:15" ht="13.9" x14ac:dyDescent="0.35">
      <c r="B405" s="65" t="s">
        <v>154</v>
      </c>
      <c r="C405" s="65" t="s">
        <v>481</v>
      </c>
      <c r="D405" s="50" t="s">
        <v>47</v>
      </c>
      <c r="E405" s="52" t="s">
        <v>48</v>
      </c>
      <c r="F405" s="53">
        <v>4</v>
      </c>
      <c r="G405" s="53">
        <v>12120</v>
      </c>
      <c r="H405" s="33" t="str">
        <f>VLOOKUP(B405,Sheet1!A:B,2,0)</f>
        <v>Guangxi</v>
      </c>
      <c r="I405" s="33" t="str">
        <f>VLOOKUP(C405,Sheet1!C:D,2,0)</f>
        <v>Beihai</v>
      </c>
      <c r="J405" s="50" t="s">
        <v>49</v>
      </c>
      <c r="K405" s="52" t="s">
        <v>50</v>
      </c>
      <c r="L405" s="52" t="s">
        <v>491</v>
      </c>
      <c r="M405" s="53"/>
      <c r="N405" s="53"/>
      <c r="O405" s="59"/>
    </row>
    <row r="406" spans="2:15" ht="13.9" x14ac:dyDescent="0.35">
      <c r="B406" s="65" t="s">
        <v>492</v>
      </c>
      <c r="C406" s="65" t="s">
        <v>493</v>
      </c>
      <c r="D406" s="52" t="s">
        <v>4</v>
      </c>
      <c r="E406" s="52" t="s">
        <v>34</v>
      </c>
      <c r="F406" s="53">
        <v>2</v>
      </c>
      <c r="G406" s="53">
        <v>1380</v>
      </c>
      <c r="H406" s="33" t="str">
        <f>VLOOKUP(B406,Sheet1!A:B,2,0)</f>
        <v>Zhejiang</v>
      </c>
      <c r="I406" s="33" t="str">
        <f>VLOOKUP(C406,Sheet1!C:D,2,0)</f>
        <v>Wenzhou</v>
      </c>
      <c r="J406" s="52" t="s">
        <v>4</v>
      </c>
      <c r="K406" s="52" t="s">
        <v>35</v>
      </c>
      <c r="L406" s="52" t="s">
        <v>494</v>
      </c>
      <c r="M406" s="53"/>
      <c r="N406" s="53"/>
      <c r="O406" s="59"/>
    </row>
    <row r="407" spans="2:15" ht="13.9" x14ac:dyDescent="0.35">
      <c r="B407" s="65" t="s">
        <v>492</v>
      </c>
      <c r="C407" s="65" t="s">
        <v>493</v>
      </c>
      <c r="D407" s="52" t="s">
        <v>5</v>
      </c>
      <c r="E407" s="52" t="s">
        <v>34</v>
      </c>
      <c r="F407" s="53">
        <v>2</v>
      </c>
      <c r="G407" s="53">
        <v>1980</v>
      </c>
      <c r="H407" s="33" t="str">
        <f>VLOOKUP(B407,Sheet1!A:B,2,0)</f>
        <v>Zhejiang</v>
      </c>
      <c r="I407" s="33" t="str">
        <f>VLOOKUP(C407,Sheet1!C:D,2,0)</f>
        <v>Wenzhou</v>
      </c>
      <c r="J407" s="52" t="s">
        <v>5</v>
      </c>
      <c r="K407" s="52" t="s">
        <v>35</v>
      </c>
      <c r="L407" s="52" t="s">
        <v>495</v>
      </c>
      <c r="M407" s="53"/>
      <c r="N407" s="53"/>
      <c r="O407" s="59"/>
    </row>
    <row r="408" spans="2:15" ht="13.9" x14ac:dyDescent="0.35">
      <c r="B408" s="65" t="s">
        <v>492</v>
      </c>
      <c r="C408" s="65" t="s">
        <v>493</v>
      </c>
      <c r="D408" s="52" t="s">
        <v>6</v>
      </c>
      <c r="E408" s="52" t="s">
        <v>34</v>
      </c>
      <c r="F408" s="53">
        <v>2</v>
      </c>
      <c r="G408" s="53">
        <v>2220</v>
      </c>
      <c r="H408" s="33" t="str">
        <f>VLOOKUP(B408,Sheet1!A:B,2,0)</f>
        <v>Zhejiang</v>
      </c>
      <c r="I408" s="33" t="str">
        <f>VLOOKUP(C408,Sheet1!C:D,2,0)</f>
        <v>Wenzhou</v>
      </c>
      <c r="J408" s="52" t="s">
        <v>6</v>
      </c>
      <c r="K408" s="52" t="s">
        <v>35</v>
      </c>
      <c r="L408" s="52" t="s">
        <v>496</v>
      </c>
      <c r="M408" s="53"/>
      <c r="N408" s="53"/>
      <c r="O408" s="59"/>
    </row>
    <row r="409" spans="2:15" ht="13.9" x14ac:dyDescent="0.35">
      <c r="B409" s="65" t="s">
        <v>492</v>
      </c>
      <c r="C409" s="65" t="s">
        <v>493</v>
      </c>
      <c r="D409" s="52" t="s">
        <v>7</v>
      </c>
      <c r="E409" s="52" t="s">
        <v>34</v>
      </c>
      <c r="F409" s="53">
        <v>2</v>
      </c>
      <c r="G409" s="53">
        <v>2376</v>
      </c>
      <c r="H409" s="33" t="str">
        <f>VLOOKUP(B409,Sheet1!A:B,2,0)</f>
        <v>Zhejiang</v>
      </c>
      <c r="I409" s="33" t="str">
        <f>VLOOKUP(C409,Sheet1!C:D,2,0)</f>
        <v>Wenzhou</v>
      </c>
      <c r="J409" s="52" t="s">
        <v>7</v>
      </c>
      <c r="K409" s="52" t="s">
        <v>35</v>
      </c>
      <c r="L409" s="52" t="s">
        <v>497</v>
      </c>
      <c r="M409" s="53"/>
      <c r="N409" s="53"/>
      <c r="O409" s="59"/>
    </row>
    <row r="410" spans="2:15" ht="13.9" x14ac:dyDescent="0.35">
      <c r="B410" s="65" t="s">
        <v>492</v>
      </c>
      <c r="C410" s="65" t="s">
        <v>493</v>
      </c>
      <c r="D410" s="52" t="s">
        <v>8</v>
      </c>
      <c r="E410" s="52" t="s">
        <v>34</v>
      </c>
      <c r="F410" s="53">
        <v>2</v>
      </c>
      <c r="G410" s="53">
        <v>2376</v>
      </c>
      <c r="H410" s="33" t="str">
        <f>VLOOKUP(B410,Sheet1!A:B,2,0)</f>
        <v>Zhejiang</v>
      </c>
      <c r="I410" s="33" t="str">
        <f>VLOOKUP(C410,Sheet1!C:D,2,0)</f>
        <v>Wenzhou</v>
      </c>
      <c r="J410" s="52" t="s">
        <v>8</v>
      </c>
      <c r="K410" s="52" t="s">
        <v>35</v>
      </c>
      <c r="L410" s="52" t="s">
        <v>498</v>
      </c>
      <c r="M410" s="53"/>
      <c r="N410" s="53"/>
      <c r="O410" s="59"/>
    </row>
    <row r="411" spans="2:15" ht="13.9" x14ac:dyDescent="0.35">
      <c r="B411" s="65" t="s">
        <v>492</v>
      </c>
      <c r="C411" s="65" t="s">
        <v>493</v>
      </c>
      <c r="D411" s="52" t="s">
        <v>9</v>
      </c>
      <c r="E411" s="52" t="s">
        <v>34</v>
      </c>
      <c r="F411" s="53">
        <v>2</v>
      </c>
      <c r="G411" s="53">
        <v>3540</v>
      </c>
      <c r="H411" s="33" t="str">
        <f>VLOOKUP(B411,Sheet1!A:B,2,0)</f>
        <v>Zhejiang</v>
      </c>
      <c r="I411" s="33" t="str">
        <f>VLOOKUP(C411,Sheet1!C:D,2,0)</f>
        <v>Wenzhou</v>
      </c>
      <c r="J411" s="52" t="s">
        <v>9</v>
      </c>
      <c r="K411" s="52" t="s">
        <v>35</v>
      </c>
      <c r="L411" s="52" t="s">
        <v>499</v>
      </c>
      <c r="M411" s="53"/>
      <c r="N411" s="53"/>
      <c r="O411" s="59"/>
    </row>
    <row r="412" spans="2:15" ht="13.9" x14ac:dyDescent="0.35">
      <c r="B412" s="65" t="s">
        <v>492</v>
      </c>
      <c r="C412" s="65" t="s">
        <v>493</v>
      </c>
      <c r="D412" s="52" t="s">
        <v>10</v>
      </c>
      <c r="E412" s="52" t="s">
        <v>34</v>
      </c>
      <c r="F412" s="53">
        <v>2</v>
      </c>
      <c r="G412" s="53">
        <v>3660</v>
      </c>
      <c r="H412" s="33" t="str">
        <f>VLOOKUP(B412,Sheet1!A:B,2,0)</f>
        <v>Zhejiang</v>
      </c>
      <c r="I412" s="33" t="str">
        <f>VLOOKUP(C412,Sheet1!C:D,2,0)</f>
        <v>Wenzhou</v>
      </c>
      <c r="J412" s="52" t="s">
        <v>10</v>
      </c>
      <c r="K412" s="52" t="s">
        <v>35</v>
      </c>
      <c r="L412" s="52" t="s">
        <v>500</v>
      </c>
      <c r="M412" s="53"/>
      <c r="N412" s="53"/>
      <c r="O412" s="59"/>
    </row>
    <row r="413" spans="2:15" ht="13.9" x14ac:dyDescent="0.35">
      <c r="B413" s="65" t="s">
        <v>492</v>
      </c>
      <c r="C413" s="65" t="s">
        <v>493</v>
      </c>
      <c r="D413" s="52" t="s">
        <v>11</v>
      </c>
      <c r="E413" s="52" t="s">
        <v>34</v>
      </c>
      <c r="F413" s="53">
        <v>2</v>
      </c>
      <c r="G413" s="53">
        <v>3900</v>
      </c>
      <c r="H413" s="33" t="str">
        <f>VLOOKUP(B413,Sheet1!A:B,2,0)</f>
        <v>Zhejiang</v>
      </c>
      <c r="I413" s="33" t="str">
        <f>VLOOKUP(C413,Sheet1!C:D,2,0)</f>
        <v>Wenzhou</v>
      </c>
      <c r="J413" s="52" t="s">
        <v>11</v>
      </c>
      <c r="K413" s="52" t="s">
        <v>35</v>
      </c>
      <c r="L413" s="52" t="s">
        <v>501</v>
      </c>
      <c r="M413" s="53"/>
      <c r="N413" s="53"/>
      <c r="O413" s="59"/>
    </row>
    <row r="414" spans="2:15" ht="13.9" x14ac:dyDescent="0.35">
      <c r="B414" s="65" t="s">
        <v>492</v>
      </c>
      <c r="C414" s="65" t="s">
        <v>493</v>
      </c>
      <c r="D414" s="52" t="s">
        <v>258</v>
      </c>
      <c r="E414" s="52" t="s">
        <v>48</v>
      </c>
      <c r="F414" s="53">
        <v>2</v>
      </c>
      <c r="G414" s="53">
        <v>2580</v>
      </c>
      <c r="H414" s="33" t="str">
        <f>VLOOKUP(B414,Sheet1!A:B,2,0)</f>
        <v>Zhejiang</v>
      </c>
      <c r="I414" s="33" t="str">
        <f>VLOOKUP(C414,Sheet1!C:D,2,0)</f>
        <v>Wenzhou</v>
      </c>
      <c r="J414" s="52" t="s">
        <v>258</v>
      </c>
      <c r="K414" s="52" t="s">
        <v>50</v>
      </c>
      <c r="L414" s="52" t="s">
        <v>502</v>
      </c>
      <c r="M414" s="53"/>
      <c r="N414" s="53"/>
      <c r="O414" s="59"/>
    </row>
    <row r="415" spans="2:15" ht="13.9" x14ac:dyDescent="0.35">
      <c r="B415" s="65" t="s">
        <v>492</v>
      </c>
      <c r="C415" s="65" t="s">
        <v>493</v>
      </c>
      <c r="D415" s="50" t="s">
        <v>47</v>
      </c>
      <c r="E415" s="52" t="s">
        <v>48</v>
      </c>
      <c r="F415" s="53">
        <v>2</v>
      </c>
      <c r="G415" s="53">
        <v>3900</v>
      </c>
      <c r="H415" s="33" t="str">
        <f>VLOOKUP(B415,Sheet1!A:B,2,0)</f>
        <v>Zhejiang</v>
      </c>
      <c r="I415" s="33" t="str">
        <f>VLOOKUP(C415,Sheet1!C:D,2,0)</f>
        <v>Wenzhou</v>
      </c>
      <c r="J415" s="50" t="s">
        <v>49</v>
      </c>
      <c r="K415" s="52" t="s">
        <v>50</v>
      </c>
      <c r="L415" s="52" t="s">
        <v>503</v>
      </c>
      <c r="M415" s="53"/>
      <c r="N415" s="53"/>
      <c r="O415" s="59"/>
    </row>
  </sheetData>
  <autoFilter ref="B10:Q415" xr:uid="{00000000-0009-0000-0000-000001000000}"/>
  <mergeCells count="4">
    <mergeCell ref="B5:G5"/>
    <mergeCell ref="B6:G6"/>
    <mergeCell ref="F9:G9"/>
    <mergeCell ref="P15:Q18"/>
  </mergeCells>
  <phoneticPr fontId="3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S516"/>
  <sheetViews>
    <sheetView showGridLines="0" topLeftCell="C42" zoomScale="85" zoomScaleNormal="85" workbookViewId="0">
      <selection activeCell="N18" sqref="N18"/>
    </sheetView>
  </sheetViews>
  <sheetFormatPr defaultColWidth="9.86328125" defaultRowHeight="13.5" x14ac:dyDescent="0.3"/>
  <cols>
    <col min="1" max="1" width="4.33203125" style="3" customWidth="1"/>
    <col min="2" max="2" width="15.86328125" style="5" customWidth="1"/>
    <col min="3" max="4" width="21.33203125" style="5" customWidth="1"/>
    <col min="5" max="5" width="19" style="6" customWidth="1"/>
    <col min="6" max="6" width="21.33203125" style="3" customWidth="1"/>
    <col min="7" max="7" width="19.59765625" style="3" customWidth="1"/>
    <col min="8" max="8" width="22.33203125" style="3" customWidth="1"/>
    <col min="9" max="16373" width="9.86328125" style="3"/>
  </cols>
  <sheetData>
    <row r="1" spans="2:8" s="3" customFormat="1" ht="21" customHeight="1" x14ac:dyDescent="0.45">
      <c r="B1" s="7" t="s">
        <v>504</v>
      </c>
      <c r="C1" s="5"/>
      <c r="D1" s="5"/>
      <c r="E1" s="6"/>
    </row>
    <row r="2" spans="2:8" s="3" customFormat="1" x14ac:dyDescent="0.3">
      <c r="B2" s="8" t="s">
        <v>505</v>
      </c>
      <c r="C2" s="5"/>
      <c r="D2" s="5"/>
      <c r="E2" s="6"/>
    </row>
    <row r="3" spans="2:8" s="3" customFormat="1" x14ac:dyDescent="0.3">
      <c r="B3" s="8"/>
      <c r="C3" s="5"/>
      <c r="D3" s="5"/>
      <c r="E3" s="6"/>
    </row>
    <row r="4" spans="2:8" s="3" customFormat="1" x14ac:dyDescent="0.3">
      <c r="B4" s="9" t="s">
        <v>506</v>
      </c>
      <c r="C4" s="5"/>
      <c r="D4" s="5"/>
      <c r="E4" s="6"/>
    </row>
    <row r="5" spans="2:8" s="3" customFormat="1" ht="14.55" customHeight="1" x14ac:dyDescent="0.3">
      <c r="B5" s="78" t="s">
        <v>507</v>
      </c>
      <c r="C5" s="79"/>
      <c r="D5" s="79"/>
      <c r="E5" s="79"/>
      <c r="F5" s="79"/>
      <c r="G5" s="79"/>
      <c r="H5" s="80"/>
    </row>
    <row r="6" spans="2:8" s="3" customFormat="1" ht="26.55" customHeight="1" x14ac:dyDescent="0.3">
      <c r="B6" s="78" t="s">
        <v>508</v>
      </c>
      <c r="C6" s="79"/>
      <c r="D6" s="79"/>
      <c r="E6" s="79"/>
      <c r="F6" s="79"/>
      <c r="G6" s="79"/>
      <c r="H6" s="80"/>
    </row>
    <row r="7" spans="2:8" s="3" customFormat="1" ht="26.55" customHeight="1" x14ac:dyDescent="0.3">
      <c r="B7" s="10"/>
      <c r="C7" s="10"/>
      <c r="D7" s="10"/>
      <c r="E7" s="10"/>
      <c r="F7" s="10"/>
      <c r="G7" s="10"/>
      <c r="H7" s="10"/>
    </row>
    <row r="8" spans="2:8" s="3" customFormat="1" ht="17.25" customHeight="1" x14ac:dyDescent="0.3">
      <c r="B8" s="10"/>
      <c r="C8" s="10"/>
      <c r="D8" s="10"/>
      <c r="E8" s="10"/>
      <c r="F8" s="81" t="s">
        <v>23</v>
      </c>
      <c r="G8" s="82"/>
      <c r="H8" s="83"/>
    </row>
    <row r="9" spans="2:8" s="3" customFormat="1" ht="14.55" customHeight="1" x14ac:dyDescent="0.3">
      <c r="B9" s="11" t="s">
        <v>509</v>
      </c>
      <c r="C9" s="12" t="s">
        <v>510</v>
      </c>
      <c r="D9" s="12"/>
      <c r="E9" s="6"/>
      <c r="F9" s="84" t="s">
        <v>511</v>
      </c>
      <c r="G9" s="85"/>
      <c r="H9" s="86"/>
    </row>
    <row r="10" spans="2:8" s="3" customFormat="1" ht="60" customHeight="1" x14ac:dyDescent="0.3">
      <c r="B10" s="13" t="s">
        <v>512</v>
      </c>
      <c r="C10" s="13" t="s">
        <v>513</v>
      </c>
      <c r="D10" s="14" t="s">
        <v>514</v>
      </c>
      <c r="E10" s="15" t="s">
        <v>515</v>
      </c>
      <c r="F10" s="16" t="s">
        <v>516</v>
      </c>
      <c r="G10" s="17" t="s">
        <v>517</v>
      </c>
      <c r="H10" s="17" t="s">
        <v>518</v>
      </c>
    </row>
    <row r="11" spans="2:8" s="3" customFormat="1" x14ac:dyDescent="0.3">
      <c r="B11" s="18" t="s">
        <v>519</v>
      </c>
      <c r="C11" s="18" t="s">
        <v>520</v>
      </c>
      <c r="D11" s="19">
        <v>227.23303999999999</v>
      </c>
      <c r="E11" s="20">
        <v>11</v>
      </c>
      <c r="F11" s="21">
        <v>2</v>
      </c>
      <c r="G11" s="22">
        <v>280</v>
      </c>
      <c r="H11" s="77">
        <v>0.39760000000000001</v>
      </c>
    </row>
    <row r="12" spans="2:8" s="3" customFormat="1" x14ac:dyDescent="0.3">
      <c r="B12" s="18" t="s">
        <v>519</v>
      </c>
      <c r="C12" s="18" t="s">
        <v>521</v>
      </c>
      <c r="D12" s="19">
        <v>21.712859999999999</v>
      </c>
      <c r="E12" s="20">
        <v>2</v>
      </c>
      <c r="F12" s="21">
        <v>3</v>
      </c>
      <c r="G12" s="22">
        <v>280</v>
      </c>
      <c r="H12" s="77">
        <v>0.4108</v>
      </c>
    </row>
    <row r="13" spans="2:8" s="3" customFormat="1" x14ac:dyDescent="0.3">
      <c r="B13" s="18" t="s">
        <v>519</v>
      </c>
      <c r="C13" s="23" t="s">
        <v>522</v>
      </c>
      <c r="D13" s="23">
        <v>154.525826</v>
      </c>
      <c r="E13" s="23">
        <v>20</v>
      </c>
      <c r="F13" s="21">
        <v>2</v>
      </c>
      <c r="G13" s="22">
        <v>280</v>
      </c>
      <c r="H13" s="77">
        <v>0.46389999999999998</v>
      </c>
    </row>
    <row r="14" spans="2:8" s="4" customFormat="1" x14ac:dyDescent="0.3">
      <c r="B14" s="18" t="s">
        <v>519</v>
      </c>
      <c r="C14" s="18" t="s">
        <v>523</v>
      </c>
      <c r="D14" s="24">
        <v>7.2173999999999996</v>
      </c>
      <c r="E14" s="20">
        <v>2</v>
      </c>
      <c r="F14" s="21">
        <v>2</v>
      </c>
      <c r="G14" s="22">
        <v>280</v>
      </c>
      <c r="H14" s="77">
        <v>0.39760000000000001</v>
      </c>
    </row>
    <row r="15" spans="2:8" s="4" customFormat="1" x14ac:dyDescent="0.3">
      <c r="B15" s="18" t="s">
        <v>524</v>
      </c>
      <c r="C15" s="18" t="s">
        <v>525</v>
      </c>
      <c r="D15" s="19">
        <v>91.578860000000006</v>
      </c>
      <c r="E15" s="20">
        <v>10</v>
      </c>
      <c r="F15" s="21">
        <v>3</v>
      </c>
      <c r="G15" s="22">
        <v>300</v>
      </c>
      <c r="H15" s="77">
        <v>0.59640000000000004</v>
      </c>
    </row>
    <row r="16" spans="2:8" s="4" customFormat="1" x14ac:dyDescent="0.3">
      <c r="B16" s="18" t="s">
        <v>524</v>
      </c>
      <c r="C16" s="18" t="s">
        <v>526</v>
      </c>
      <c r="D16" s="19">
        <v>86.01258</v>
      </c>
      <c r="E16" s="20">
        <v>65</v>
      </c>
      <c r="F16" s="21">
        <v>3</v>
      </c>
      <c r="G16" s="22">
        <v>300</v>
      </c>
      <c r="H16" s="77">
        <v>0.59640000000000004</v>
      </c>
    </row>
    <row r="17" spans="2:8" s="4" customFormat="1" x14ac:dyDescent="0.3">
      <c r="B17" s="18" t="s">
        <v>524</v>
      </c>
      <c r="C17" s="18" t="s">
        <v>527</v>
      </c>
      <c r="D17" s="23">
        <v>19.488026000000001</v>
      </c>
      <c r="E17" s="23">
        <v>8</v>
      </c>
      <c r="F17" s="21">
        <v>3</v>
      </c>
      <c r="G17" s="22">
        <v>300</v>
      </c>
      <c r="H17" s="77">
        <v>0.56330000000000002</v>
      </c>
    </row>
    <row r="18" spans="2:8" s="4" customFormat="1" x14ac:dyDescent="0.3">
      <c r="B18" s="18" t="s">
        <v>524</v>
      </c>
      <c r="C18" s="25" t="s">
        <v>528</v>
      </c>
      <c r="D18" s="24">
        <v>105.749554</v>
      </c>
      <c r="E18" s="23">
        <v>22</v>
      </c>
      <c r="F18" s="21">
        <v>3</v>
      </c>
      <c r="G18" s="22">
        <v>300</v>
      </c>
      <c r="H18" s="77">
        <v>0.56330000000000002</v>
      </c>
    </row>
    <row r="19" spans="2:8" s="4" customFormat="1" x14ac:dyDescent="0.3">
      <c r="B19" s="18" t="s">
        <v>529</v>
      </c>
      <c r="C19" s="18" t="s">
        <v>530</v>
      </c>
      <c r="D19" s="24">
        <v>203.64364800000001</v>
      </c>
      <c r="E19" s="23">
        <v>16</v>
      </c>
      <c r="F19" s="21">
        <v>3</v>
      </c>
      <c r="G19" s="22">
        <v>350</v>
      </c>
      <c r="H19" s="77">
        <v>0.59640000000000004</v>
      </c>
    </row>
    <row r="20" spans="2:8" s="4" customFormat="1" x14ac:dyDescent="0.3">
      <c r="B20" s="18" t="s">
        <v>529</v>
      </c>
      <c r="C20" s="18" t="s">
        <v>531</v>
      </c>
      <c r="D20" s="19">
        <v>3200.3875560000101</v>
      </c>
      <c r="E20" s="20">
        <v>450</v>
      </c>
      <c r="F20" s="21">
        <v>3</v>
      </c>
      <c r="G20" s="22">
        <v>350</v>
      </c>
      <c r="H20" s="77">
        <v>0.59640000000000004</v>
      </c>
    </row>
    <row r="21" spans="2:8" s="4" customFormat="1" x14ac:dyDescent="0.3">
      <c r="B21" s="18" t="s">
        <v>529</v>
      </c>
      <c r="C21" s="18" t="s">
        <v>532</v>
      </c>
      <c r="D21" s="24">
        <v>13.998618</v>
      </c>
      <c r="E21" s="20">
        <v>2</v>
      </c>
      <c r="F21" s="21">
        <v>3</v>
      </c>
      <c r="G21" s="22">
        <v>350</v>
      </c>
      <c r="H21" s="77">
        <v>0.59640000000000004</v>
      </c>
    </row>
    <row r="22" spans="2:8" s="4" customFormat="1" x14ac:dyDescent="0.3">
      <c r="B22" s="18" t="s">
        <v>529</v>
      </c>
      <c r="C22" s="18" t="s">
        <v>533</v>
      </c>
      <c r="D22" s="19">
        <v>11.6629</v>
      </c>
      <c r="E22" s="20">
        <v>1</v>
      </c>
      <c r="F22" s="21">
        <v>3</v>
      </c>
      <c r="G22" s="22">
        <v>350</v>
      </c>
      <c r="H22" s="77">
        <v>0.59640000000000004</v>
      </c>
    </row>
    <row r="23" spans="2:8" s="4" customFormat="1" x14ac:dyDescent="0.3">
      <c r="B23" s="18" t="s">
        <v>529</v>
      </c>
      <c r="C23" s="18" t="s">
        <v>534</v>
      </c>
      <c r="D23" s="19">
        <v>140.68700000000001</v>
      </c>
      <c r="E23" s="20">
        <v>76</v>
      </c>
      <c r="F23" s="21">
        <v>3</v>
      </c>
      <c r="G23" s="22">
        <v>350</v>
      </c>
      <c r="H23" s="77">
        <v>0.66269999999999996</v>
      </c>
    </row>
    <row r="24" spans="2:8" s="4" customFormat="1" x14ac:dyDescent="0.3">
      <c r="B24" s="18" t="s">
        <v>529</v>
      </c>
      <c r="C24" s="18" t="s">
        <v>535</v>
      </c>
      <c r="D24" s="24">
        <v>932.00365599999998</v>
      </c>
      <c r="E24" s="20">
        <v>66</v>
      </c>
      <c r="F24" s="21">
        <v>3</v>
      </c>
      <c r="G24" s="22">
        <v>350</v>
      </c>
      <c r="H24" s="77">
        <v>0.67589999999999995</v>
      </c>
    </row>
    <row r="25" spans="2:8" s="4" customFormat="1" x14ac:dyDescent="0.3">
      <c r="B25" s="18" t="s">
        <v>529</v>
      </c>
      <c r="C25" s="18" t="s">
        <v>536</v>
      </c>
      <c r="D25" s="24">
        <v>45.620244</v>
      </c>
      <c r="E25" s="20">
        <v>26</v>
      </c>
      <c r="F25" s="21">
        <v>3</v>
      </c>
      <c r="G25" s="22">
        <v>350</v>
      </c>
      <c r="H25" s="77">
        <v>0.66269999999999996</v>
      </c>
    </row>
    <row r="26" spans="2:8" s="4" customFormat="1" x14ac:dyDescent="0.3">
      <c r="B26" s="18" t="s">
        <v>529</v>
      </c>
      <c r="C26" s="18" t="s">
        <v>537</v>
      </c>
      <c r="D26" s="19">
        <v>34.487464000000003</v>
      </c>
      <c r="E26" s="20">
        <v>9</v>
      </c>
      <c r="F26" s="21">
        <v>3</v>
      </c>
      <c r="G26" s="22">
        <v>350</v>
      </c>
      <c r="H26" s="77">
        <v>0.72889999999999999</v>
      </c>
    </row>
    <row r="27" spans="2:8" s="4" customFormat="1" x14ac:dyDescent="0.3">
      <c r="B27" s="18" t="s">
        <v>529</v>
      </c>
      <c r="C27" s="18" t="s">
        <v>538</v>
      </c>
      <c r="D27" s="24">
        <v>261.79183399999999</v>
      </c>
      <c r="E27" s="20">
        <v>42</v>
      </c>
      <c r="F27" s="21">
        <v>3</v>
      </c>
      <c r="G27" s="22">
        <v>350</v>
      </c>
      <c r="H27" s="77">
        <v>0.59640000000000004</v>
      </c>
    </row>
    <row r="28" spans="2:8" s="4" customFormat="1" x14ac:dyDescent="0.3">
      <c r="B28" s="18" t="s">
        <v>529</v>
      </c>
      <c r="C28" s="18" t="s">
        <v>539</v>
      </c>
      <c r="D28" s="24">
        <v>673.21991600000001</v>
      </c>
      <c r="E28" s="20">
        <v>127</v>
      </c>
      <c r="F28" s="21">
        <v>3</v>
      </c>
      <c r="G28" s="22">
        <v>350</v>
      </c>
      <c r="H28" s="77">
        <v>0.66269999999999996</v>
      </c>
    </row>
    <row r="29" spans="2:8" s="4" customFormat="1" x14ac:dyDescent="0.3">
      <c r="B29" s="18" t="s">
        <v>529</v>
      </c>
      <c r="C29" s="18" t="s">
        <v>540</v>
      </c>
      <c r="D29" s="24">
        <v>27.04956</v>
      </c>
      <c r="E29" s="20">
        <v>1</v>
      </c>
      <c r="F29" s="21">
        <v>3</v>
      </c>
      <c r="G29" s="22">
        <v>350</v>
      </c>
      <c r="H29" s="77">
        <v>0.69579999999999997</v>
      </c>
    </row>
    <row r="30" spans="2:8" s="4" customFormat="1" x14ac:dyDescent="0.3">
      <c r="B30" s="18" t="s">
        <v>529</v>
      </c>
      <c r="C30" s="18" t="s">
        <v>541</v>
      </c>
      <c r="D30" s="23">
        <v>485.900058</v>
      </c>
      <c r="E30" s="23">
        <v>53</v>
      </c>
      <c r="F30" s="21">
        <v>3</v>
      </c>
      <c r="G30" s="22">
        <v>350</v>
      </c>
      <c r="H30" s="77">
        <v>0.69579999999999997</v>
      </c>
    </row>
    <row r="31" spans="2:8" s="4" customFormat="1" x14ac:dyDescent="0.3">
      <c r="B31" s="18" t="s">
        <v>529</v>
      </c>
      <c r="C31" s="18" t="s">
        <v>542</v>
      </c>
      <c r="D31" s="24">
        <v>172.759704</v>
      </c>
      <c r="E31" s="20">
        <v>39</v>
      </c>
      <c r="F31" s="21">
        <v>3</v>
      </c>
      <c r="G31" s="22">
        <v>350</v>
      </c>
      <c r="H31" s="77">
        <v>0.69579999999999997</v>
      </c>
    </row>
    <row r="32" spans="2:8" s="4" customFormat="1" x14ac:dyDescent="0.3">
      <c r="B32" s="18" t="s">
        <v>543</v>
      </c>
      <c r="C32" s="18" t="s">
        <v>544</v>
      </c>
      <c r="D32" s="19">
        <v>3.9546000000000001</v>
      </c>
      <c r="E32" s="20">
        <v>1</v>
      </c>
      <c r="F32" s="21">
        <v>4</v>
      </c>
      <c r="G32" s="22">
        <v>350</v>
      </c>
      <c r="H32" s="77">
        <v>0.86140000000000005</v>
      </c>
    </row>
    <row r="33" spans="2:8" s="4" customFormat="1" x14ac:dyDescent="0.3">
      <c r="B33" s="18" t="s">
        <v>543</v>
      </c>
      <c r="C33" s="18" t="s">
        <v>545</v>
      </c>
      <c r="D33" s="23">
        <v>249.01425</v>
      </c>
      <c r="E33" s="23">
        <v>16</v>
      </c>
      <c r="F33" s="21">
        <v>4</v>
      </c>
      <c r="G33" s="22">
        <v>350</v>
      </c>
      <c r="H33" s="77">
        <v>0.86140000000000005</v>
      </c>
    </row>
    <row r="34" spans="2:8" s="4" customFormat="1" x14ac:dyDescent="0.3">
      <c r="B34" s="18" t="s">
        <v>543</v>
      </c>
      <c r="C34" s="18" t="s">
        <v>546</v>
      </c>
      <c r="D34" s="24">
        <v>42.874493999999999</v>
      </c>
      <c r="E34" s="23">
        <v>5</v>
      </c>
      <c r="F34" s="21">
        <v>4</v>
      </c>
      <c r="G34" s="22">
        <v>350</v>
      </c>
      <c r="H34" s="77">
        <v>0.86140000000000005</v>
      </c>
    </row>
    <row r="35" spans="2:8" s="4" customFormat="1" x14ac:dyDescent="0.3">
      <c r="B35" s="18" t="s">
        <v>543</v>
      </c>
      <c r="C35" s="18" t="s">
        <v>547</v>
      </c>
      <c r="D35" s="23">
        <v>353.70176199999997</v>
      </c>
      <c r="E35" s="23">
        <v>38</v>
      </c>
      <c r="F35" s="21">
        <v>4</v>
      </c>
      <c r="G35" s="22">
        <v>350</v>
      </c>
      <c r="H35" s="77">
        <v>0.79520000000000002</v>
      </c>
    </row>
    <row r="36" spans="2:8" s="4" customFormat="1" x14ac:dyDescent="0.3">
      <c r="B36" s="18" t="s">
        <v>548</v>
      </c>
      <c r="C36" s="18" t="s">
        <v>549</v>
      </c>
      <c r="D36" s="24">
        <v>22.994218</v>
      </c>
      <c r="E36" s="20">
        <v>2</v>
      </c>
      <c r="F36" s="21">
        <v>3</v>
      </c>
      <c r="G36" s="22">
        <v>350</v>
      </c>
      <c r="H36" s="77">
        <v>0.51690000000000003</v>
      </c>
    </row>
    <row r="37" spans="2:8" s="4" customFormat="1" x14ac:dyDescent="0.3">
      <c r="B37" s="18" t="s">
        <v>550</v>
      </c>
      <c r="C37" s="18" t="s">
        <v>290</v>
      </c>
      <c r="D37" s="23">
        <v>113.98778</v>
      </c>
      <c r="E37" s="23">
        <v>10</v>
      </c>
      <c r="F37" s="26">
        <v>3</v>
      </c>
      <c r="G37" s="22">
        <v>350</v>
      </c>
      <c r="H37" s="77">
        <v>0.59640000000000004</v>
      </c>
    </row>
    <row r="38" spans="2:8" s="4" customFormat="1" x14ac:dyDescent="0.3">
      <c r="B38" s="18" t="s">
        <v>550</v>
      </c>
      <c r="C38" s="18" t="s">
        <v>551</v>
      </c>
      <c r="D38" s="19">
        <v>43.406080000000003</v>
      </c>
      <c r="E38" s="20">
        <v>4</v>
      </c>
      <c r="F38" s="26">
        <v>3</v>
      </c>
      <c r="G38" s="22">
        <v>350</v>
      </c>
      <c r="H38" s="77">
        <v>0.62949999999999995</v>
      </c>
    </row>
    <row r="39" spans="2:8" s="4" customFormat="1" x14ac:dyDescent="0.3">
      <c r="B39" s="25" t="s">
        <v>552</v>
      </c>
      <c r="C39" s="25" t="s">
        <v>553</v>
      </c>
      <c r="D39" s="19">
        <v>0.4914</v>
      </c>
      <c r="E39" s="20">
        <v>1</v>
      </c>
      <c r="F39" s="21">
        <v>2</v>
      </c>
      <c r="G39" s="22">
        <v>280</v>
      </c>
      <c r="H39" s="77">
        <v>0.2651</v>
      </c>
    </row>
    <row r="40" spans="2:8" s="4" customFormat="1" x14ac:dyDescent="0.3">
      <c r="B40" s="25" t="s">
        <v>552</v>
      </c>
      <c r="C40" s="25" t="s">
        <v>554</v>
      </c>
      <c r="D40" s="19">
        <v>17.18055</v>
      </c>
      <c r="E40" s="20">
        <v>14</v>
      </c>
      <c r="F40" s="21">
        <v>2</v>
      </c>
      <c r="G40" s="22">
        <v>280</v>
      </c>
      <c r="H40" s="77">
        <v>0.29820000000000002</v>
      </c>
    </row>
    <row r="41" spans="2:8" s="4" customFormat="1" x14ac:dyDescent="0.3">
      <c r="B41" s="25" t="s">
        <v>552</v>
      </c>
      <c r="C41" s="18" t="s">
        <v>555</v>
      </c>
      <c r="D41" s="19">
        <v>8.3680000000000004E-2</v>
      </c>
      <c r="E41" s="20">
        <v>1</v>
      </c>
      <c r="F41" s="21">
        <v>2</v>
      </c>
      <c r="G41" s="22">
        <v>280</v>
      </c>
      <c r="H41" s="77">
        <v>0.33129999999999998</v>
      </c>
    </row>
    <row r="42" spans="2:8" s="4" customFormat="1" x14ac:dyDescent="0.3">
      <c r="B42" s="25" t="s">
        <v>552</v>
      </c>
      <c r="C42" s="18" t="s">
        <v>556</v>
      </c>
      <c r="D42" s="19">
        <v>129.58943600000001</v>
      </c>
      <c r="E42" s="20">
        <v>15</v>
      </c>
      <c r="F42" s="21">
        <v>2</v>
      </c>
      <c r="G42" s="22">
        <v>280</v>
      </c>
      <c r="H42" s="77">
        <v>0.39760000000000001</v>
      </c>
    </row>
    <row r="43" spans="2:8" s="4" customFormat="1" x14ac:dyDescent="0.3">
      <c r="B43" s="25" t="s">
        <v>552</v>
      </c>
      <c r="C43" s="18" t="s">
        <v>557</v>
      </c>
      <c r="D43" s="24">
        <v>162.02810199999999</v>
      </c>
      <c r="E43" s="23">
        <v>20</v>
      </c>
      <c r="F43" s="26">
        <v>2</v>
      </c>
      <c r="G43" s="22">
        <v>280</v>
      </c>
      <c r="H43" s="77">
        <v>0.2651</v>
      </c>
    </row>
    <row r="44" spans="2:8" s="4" customFormat="1" x14ac:dyDescent="0.3">
      <c r="B44" s="25" t="s">
        <v>552</v>
      </c>
      <c r="C44" s="18" t="s">
        <v>558</v>
      </c>
      <c r="D44" s="19">
        <v>7.6044200000000002</v>
      </c>
      <c r="E44" s="20">
        <v>2</v>
      </c>
      <c r="F44" s="21">
        <v>2</v>
      </c>
      <c r="G44" s="22">
        <v>280</v>
      </c>
      <c r="H44" s="77">
        <v>0.2651</v>
      </c>
    </row>
    <row r="45" spans="2:8" s="4" customFormat="1" x14ac:dyDescent="0.3">
      <c r="B45" s="25" t="s">
        <v>552</v>
      </c>
      <c r="C45" s="18" t="s">
        <v>559</v>
      </c>
      <c r="D45" s="24">
        <v>10.058490000000001</v>
      </c>
      <c r="E45" s="20">
        <v>1</v>
      </c>
      <c r="F45" s="21">
        <v>2</v>
      </c>
      <c r="G45" s="22">
        <v>280</v>
      </c>
      <c r="H45" s="77">
        <v>0.33129999999999998</v>
      </c>
    </row>
    <row r="46" spans="2:8" s="4" customFormat="1" x14ac:dyDescent="0.3">
      <c r="B46" s="18" t="s">
        <v>560</v>
      </c>
      <c r="C46" s="18" t="s">
        <v>561</v>
      </c>
      <c r="D46" s="19">
        <v>447.35567600000002</v>
      </c>
      <c r="E46" s="20">
        <v>50</v>
      </c>
      <c r="F46" s="21">
        <v>3</v>
      </c>
      <c r="G46" s="22">
        <v>350</v>
      </c>
      <c r="H46" s="77">
        <v>0.72889999999999999</v>
      </c>
    </row>
    <row r="47" spans="2:8" s="4" customFormat="1" x14ac:dyDescent="0.3">
      <c r="B47" s="18" t="s">
        <v>562</v>
      </c>
      <c r="C47" s="18" t="s">
        <v>563</v>
      </c>
      <c r="D47" s="24">
        <v>316.67765000000003</v>
      </c>
      <c r="E47" s="20">
        <v>67</v>
      </c>
      <c r="F47" s="21">
        <v>2</v>
      </c>
      <c r="G47" s="22">
        <v>300</v>
      </c>
      <c r="H47" s="77">
        <v>0.46389999999999998</v>
      </c>
    </row>
    <row r="48" spans="2:8" s="3" customFormat="1" x14ac:dyDescent="0.3">
      <c r="B48" s="18" t="s">
        <v>562</v>
      </c>
      <c r="C48" s="18" t="s">
        <v>564</v>
      </c>
      <c r="D48" s="19">
        <v>92.326598000000004</v>
      </c>
      <c r="E48" s="20">
        <v>25</v>
      </c>
      <c r="F48" s="21">
        <v>2</v>
      </c>
      <c r="G48" s="22">
        <v>300</v>
      </c>
      <c r="H48" s="77">
        <v>0.53010000000000002</v>
      </c>
    </row>
    <row r="49" spans="2:8" s="3" customFormat="1" x14ac:dyDescent="0.3">
      <c r="B49" s="18" t="s">
        <v>562</v>
      </c>
      <c r="C49" s="18" t="s">
        <v>565</v>
      </c>
      <c r="D49" s="24">
        <v>52.464410000000001</v>
      </c>
      <c r="E49" s="20">
        <v>16</v>
      </c>
      <c r="F49" s="21">
        <v>2</v>
      </c>
      <c r="G49" s="22">
        <v>300</v>
      </c>
      <c r="H49" s="77">
        <v>0.46389999999999998</v>
      </c>
    </row>
    <row r="50" spans="2:8" s="3" customFormat="1" x14ac:dyDescent="0.3">
      <c r="B50" s="18" t="s">
        <v>562</v>
      </c>
      <c r="C50" s="18" t="s">
        <v>566</v>
      </c>
      <c r="D50" s="24">
        <v>26.616852000000002</v>
      </c>
      <c r="E50" s="20">
        <v>11</v>
      </c>
      <c r="F50" s="21">
        <v>2</v>
      </c>
      <c r="G50" s="22">
        <v>300</v>
      </c>
      <c r="H50" s="77">
        <v>0.46389999999999998</v>
      </c>
    </row>
    <row r="51" spans="2:8" s="3" customFormat="1" x14ac:dyDescent="0.3">
      <c r="B51" s="18" t="s">
        <v>562</v>
      </c>
      <c r="C51" s="18" t="s">
        <v>567</v>
      </c>
      <c r="D51" s="24">
        <v>68.785911999999996</v>
      </c>
      <c r="E51" s="23">
        <v>24</v>
      </c>
      <c r="F51" s="21">
        <v>2</v>
      </c>
      <c r="G51" s="22">
        <v>300</v>
      </c>
      <c r="H51" s="77">
        <v>0.46389999999999998</v>
      </c>
    </row>
    <row r="52" spans="2:8" s="3" customFormat="1" x14ac:dyDescent="0.3">
      <c r="B52" s="18" t="s">
        <v>562</v>
      </c>
      <c r="C52" s="18" t="s">
        <v>568</v>
      </c>
      <c r="D52" s="24">
        <v>23.51408</v>
      </c>
      <c r="E52" s="23">
        <v>11</v>
      </c>
      <c r="F52" s="21">
        <v>2</v>
      </c>
      <c r="G52" s="22">
        <v>300</v>
      </c>
      <c r="H52" s="77">
        <v>0.46389999999999998</v>
      </c>
    </row>
    <row r="53" spans="2:8" s="3" customFormat="1" x14ac:dyDescent="0.3">
      <c r="B53" s="18" t="s">
        <v>569</v>
      </c>
      <c r="C53" s="18" t="s">
        <v>569</v>
      </c>
      <c r="D53" s="24">
        <v>256.19234999999998</v>
      </c>
      <c r="E53" s="20">
        <v>36</v>
      </c>
      <c r="F53" s="27">
        <v>1</v>
      </c>
      <c r="G53" s="22">
        <v>200</v>
      </c>
      <c r="H53" s="77">
        <v>0.2651</v>
      </c>
    </row>
    <row r="54" spans="2:8" s="3" customFormat="1" x14ac:dyDescent="0.3">
      <c r="B54" s="18" t="s">
        <v>570</v>
      </c>
      <c r="C54" s="18" t="s">
        <v>571</v>
      </c>
      <c r="D54" s="19">
        <v>223.18815799999999</v>
      </c>
      <c r="E54" s="20">
        <v>30</v>
      </c>
      <c r="F54" s="27">
        <v>4</v>
      </c>
      <c r="G54" s="22">
        <v>350</v>
      </c>
      <c r="H54" s="77">
        <v>0.76870000000000005</v>
      </c>
    </row>
    <row r="55" spans="2:8" s="3" customFormat="1" x14ac:dyDescent="0.3">
      <c r="B55" s="18" t="s">
        <v>572</v>
      </c>
      <c r="C55" s="18" t="s">
        <v>573</v>
      </c>
      <c r="D55" s="19">
        <v>2.0159099999999999</v>
      </c>
      <c r="E55" s="20">
        <v>1</v>
      </c>
      <c r="F55" s="27">
        <v>2</v>
      </c>
      <c r="G55" s="22">
        <v>280</v>
      </c>
      <c r="H55" s="77">
        <v>0.2651</v>
      </c>
    </row>
    <row r="56" spans="2:8" s="3" customFormat="1" x14ac:dyDescent="0.3">
      <c r="B56" s="18" t="s">
        <v>572</v>
      </c>
      <c r="C56" s="28" t="s">
        <v>574</v>
      </c>
      <c r="D56" s="24">
        <v>4.3365799999999997</v>
      </c>
      <c r="E56" s="23">
        <v>3</v>
      </c>
      <c r="F56" s="27">
        <v>2</v>
      </c>
      <c r="G56" s="22">
        <v>280</v>
      </c>
      <c r="H56" s="77">
        <v>0.2651</v>
      </c>
    </row>
    <row r="57" spans="2:8" s="3" customFormat="1" x14ac:dyDescent="0.3">
      <c r="B57" s="18" t="s">
        <v>572</v>
      </c>
      <c r="C57" s="18" t="s">
        <v>575</v>
      </c>
      <c r="D57" s="24">
        <v>16.591539999999998</v>
      </c>
      <c r="E57" s="20">
        <v>4</v>
      </c>
      <c r="F57" s="27">
        <v>2</v>
      </c>
      <c r="G57" s="22">
        <v>280</v>
      </c>
      <c r="H57" s="77">
        <v>0.33129999999999998</v>
      </c>
    </row>
    <row r="58" spans="2:8" s="3" customFormat="1" x14ac:dyDescent="0.3">
      <c r="B58" s="18" t="s">
        <v>572</v>
      </c>
      <c r="C58" s="18" t="s">
        <v>576</v>
      </c>
      <c r="D58" s="19">
        <v>92.871201999999997</v>
      </c>
      <c r="E58" s="20">
        <v>24</v>
      </c>
      <c r="F58" s="27">
        <v>2</v>
      </c>
      <c r="G58" s="22">
        <v>280</v>
      </c>
      <c r="H58" s="77">
        <v>0.33129999999999998</v>
      </c>
    </row>
    <row r="59" spans="2:8" s="3" customFormat="1" x14ac:dyDescent="0.3">
      <c r="B59" s="18" t="s">
        <v>572</v>
      </c>
      <c r="C59" s="18" t="s">
        <v>577</v>
      </c>
      <c r="D59" s="19">
        <v>32.513863999999998</v>
      </c>
      <c r="E59" s="20">
        <v>11</v>
      </c>
      <c r="F59" s="27">
        <v>2</v>
      </c>
      <c r="G59" s="22">
        <v>280</v>
      </c>
      <c r="H59" s="77">
        <v>0.33129999999999998</v>
      </c>
    </row>
    <row r="60" spans="2:8" s="3" customFormat="1" x14ac:dyDescent="0.3">
      <c r="B60" s="18" t="s">
        <v>572</v>
      </c>
      <c r="C60" s="18" t="s">
        <v>578</v>
      </c>
      <c r="D60" s="19">
        <v>0.60840000000000005</v>
      </c>
      <c r="E60" s="20">
        <v>1</v>
      </c>
      <c r="F60" s="27">
        <v>2</v>
      </c>
      <c r="G60" s="22">
        <v>280</v>
      </c>
      <c r="H60" s="77">
        <v>0.36449999999999999</v>
      </c>
    </row>
    <row r="61" spans="2:8" s="3" customFormat="1" x14ac:dyDescent="0.3">
      <c r="B61" s="18" t="s">
        <v>579</v>
      </c>
      <c r="C61" s="18" t="s">
        <v>543</v>
      </c>
      <c r="D61" s="19"/>
      <c r="E61" s="20"/>
      <c r="F61" s="27">
        <v>5</v>
      </c>
      <c r="G61" s="22">
        <v>350</v>
      </c>
      <c r="H61" s="77">
        <v>0.72889999999999999</v>
      </c>
    </row>
    <row r="62" spans="2:8" s="3" customFormat="1" x14ac:dyDescent="0.3">
      <c r="B62" s="18" t="s">
        <v>580</v>
      </c>
      <c r="C62" s="18" t="s">
        <v>572</v>
      </c>
      <c r="D62" s="19"/>
      <c r="E62" s="20"/>
      <c r="F62" s="27">
        <v>2</v>
      </c>
      <c r="G62" s="22">
        <v>280</v>
      </c>
      <c r="H62" s="77">
        <v>0.36449999999999999</v>
      </c>
    </row>
    <row r="63" spans="2:8" s="3" customFormat="1" x14ac:dyDescent="0.3">
      <c r="B63" s="5"/>
      <c r="C63" s="5"/>
      <c r="D63" s="5"/>
      <c r="E63" s="5"/>
    </row>
    <row r="64" spans="2:8" s="3" customFormat="1" x14ac:dyDescent="0.3">
      <c r="B64" s="5"/>
      <c r="C64" s="5"/>
      <c r="D64" s="5"/>
      <c r="E64" s="5"/>
    </row>
    <row r="65" spans="2:5" s="3" customFormat="1" x14ac:dyDescent="0.3">
      <c r="B65" s="5"/>
      <c r="C65" s="5"/>
      <c r="D65" s="5"/>
      <c r="E65" s="5"/>
    </row>
    <row r="66" spans="2:5" s="3" customFormat="1" x14ac:dyDescent="0.3">
      <c r="B66" s="5"/>
      <c r="C66" s="5"/>
      <c r="D66" s="5"/>
      <c r="E66" s="5"/>
    </row>
    <row r="67" spans="2:5" s="3" customFormat="1" x14ac:dyDescent="0.3">
      <c r="B67" s="5"/>
      <c r="C67" s="5"/>
      <c r="D67" s="5"/>
      <c r="E67" s="5"/>
    </row>
    <row r="68" spans="2:5" s="3" customFormat="1" x14ac:dyDescent="0.3">
      <c r="B68" s="5"/>
      <c r="C68" s="5"/>
      <c r="D68" s="5"/>
      <c r="E68" s="5"/>
    </row>
    <row r="69" spans="2:5" s="3" customFormat="1" x14ac:dyDescent="0.3">
      <c r="B69" s="5"/>
      <c r="C69" s="5"/>
      <c r="D69" s="5"/>
      <c r="E69" s="5"/>
    </row>
    <row r="70" spans="2:5" s="3" customFormat="1" x14ac:dyDescent="0.3">
      <c r="B70" s="5"/>
      <c r="C70" s="5"/>
      <c r="D70" s="5"/>
      <c r="E70" s="5"/>
    </row>
    <row r="71" spans="2:5" s="3" customFormat="1" x14ac:dyDescent="0.3">
      <c r="B71" s="5"/>
      <c r="C71" s="5"/>
      <c r="D71" s="5"/>
      <c r="E71" s="5"/>
    </row>
    <row r="72" spans="2:5" s="3" customFormat="1" x14ac:dyDescent="0.3">
      <c r="B72" s="5"/>
      <c r="C72" s="5"/>
      <c r="D72" s="5"/>
      <c r="E72" s="5"/>
    </row>
    <row r="73" spans="2:5" s="3" customFormat="1" x14ac:dyDescent="0.3">
      <c r="B73" s="5"/>
      <c r="C73" s="5"/>
      <c r="D73" s="5"/>
      <c r="E73" s="5"/>
    </row>
    <row r="74" spans="2:5" s="3" customFormat="1" x14ac:dyDescent="0.3">
      <c r="B74" s="5"/>
      <c r="C74" s="5"/>
      <c r="D74" s="5"/>
      <c r="E74" s="5"/>
    </row>
    <row r="75" spans="2:5" s="3" customFormat="1" x14ac:dyDescent="0.3">
      <c r="B75" s="5"/>
      <c r="C75" s="5"/>
      <c r="D75" s="5"/>
      <c r="E75" s="5"/>
    </row>
    <row r="76" spans="2:5" s="3" customFormat="1" x14ac:dyDescent="0.3">
      <c r="B76" s="5"/>
      <c r="C76" s="5"/>
      <c r="D76" s="5"/>
      <c r="E76" s="5"/>
    </row>
    <row r="77" spans="2:5" s="3" customFormat="1" x14ac:dyDescent="0.3">
      <c r="B77" s="5"/>
      <c r="C77" s="5"/>
      <c r="D77" s="5"/>
      <c r="E77" s="5"/>
    </row>
    <row r="78" spans="2:5" s="3" customFormat="1" x14ac:dyDescent="0.3">
      <c r="B78" s="5"/>
      <c r="C78" s="5"/>
      <c r="D78" s="5"/>
      <c r="E78" s="5"/>
    </row>
    <row r="79" spans="2:5" s="3" customFormat="1" x14ac:dyDescent="0.3">
      <c r="B79" s="5"/>
      <c r="C79" s="5"/>
      <c r="D79" s="5"/>
      <c r="E79" s="5"/>
    </row>
    <row r="80" spans="2:5" s="3" customFormat="1" x14ac:dyDescent="0.3">
      <c r="B80" s="5"/>
      <c r="C80" s="5"/>
      <c r="D80" s="5"/>
      <c r="E80" s="5"/>
    </row>
    <row r="81" spans="2:5" s="3" customFormat="1" x14ac:dyDescent="0.3">
      <c r="B81" s="5"/>
      <c r="C81" s="5"/>
      <c r="D81" s="5"/>
      <c r="E81" s="5"/>
    </row>
    <row r="82" spans="2:5" s="3" customFormat="1" x14ac:dyDescent="0.3">
      <c r="B82" s="5"/>
      <c r="C82" s="5"/>
      <c r="D82" s="5"/>
      <c r="E82" s="5"/>
    </row>
    <row r="83" spans="2:5" s="3" customFormat="1" x14ac:dyDescent="0.3">
      <c r="B83" s="5"/>
      <c r="C83" s="5"/>
      <c r="D83" s="5"/>
      <c r="E83" s="5"/>
    </row>
    <row r="84" spans="2:5" s="3" customFormat="1" x14ac:dyDescent="0.3">
      <c r="B84" s="5"/>
      <c r="C84" s="5"/>
      <c r="D84" s="5"/>
      <c r="E84" s="5"/>
    </row>
    <row r="85" spans="2:5" s="3" customFormat="1" x14ac:dyDescent="0.3">
      <c r="B85" s="5"/>
      <c r="C85" s="5"/>
      <c r="D85" s="5"/>
      <c r="E85" s="5"/>
    </row>
    <row r="86" spans="2:5" s="3" customFormat="1" x14ac:dyDescent="0.3">
      <c r="B86" s="5"/>
      <c r="C86" s="5"/>
      <c r="D86" s="5"/>
      <c r="E86" s="5"/>
    </row>
    <row r="87" spans="2:5" s="3" customFormat="1" x14ac:dyDescent="0.3">
      <c r="B87" s="5"/>
      <c r="C87" s="5"/>
      <c r="D87" s="5"/>
      <c r="E87" s="5"/>
    </row>
    <row r="88" spans="2:5" s="3" customFormat="1" x14ac:dyDescent="0.3">
      <c r="B88" s="5"/>
      <c r="C88" s="5"/>
      <c r="D88" s="5"/>
      <c r="E88" s="5"/>
    </row>
    <row r="89" spans="2:5" s="3" customFormat="1" x14ac:dyDescent="0.3">
      <c r="B89" s="5"/>
      <c r="C89" s="5"/>
      <c r="D89" s="5"/>
      <c r="E89" s="5"/>
    </row>
    <row r="90" spans="2:5" s="3" customFormat="1" x14ac:dyDescent="0.3">
      <c r="B90" s="5"/>
      <c r="C90" s="5"/>
      <c r="D90" s="5"/>
      <c r="E90" s="5"/>
    </row>
    <row r="91" spans="2:5" s="3" customFormat="1" x14ac:dyDescent="0.3">
      <c r="B91" s="5"/>
      <c r="C91" s="5"/>
      <c r="D91" s="5"/>
      <c r="E91" s="5"/>
    </row>
    <row r="92" spans="2:5" s="3" customFormat="1" x14ac:dyDescent="0.3">
      <c r="B92" s="5"/>
      <c r="C92" s="5"/>
      <c r="D92" s="5"/>
      <c r="E92" s="5"/>
    </row>
    <row r="93" spans="2:5" s="3" customFormat="1" x14ac:dyDescent="0.3">
      <c r="B93" s="5"/>
      <c r="C93" s="5"/>
      <c r="D93" s="5"/>
      <c r="E93" s="5"/>
    </row>
    <row r="94" spans="2:5" s="3" customFormat="1" x14ac:dyDescent="0.3">
      <c r="B94" s="5"/>
      <c r="C94" s="5"/>
      <c r="D94" s="5"/>
      <c r="E94" s="5"/>
    </row>
    <row r="95" spans="2:5" s="3" customFormat="1" x14ac:dyDescent="0.3">
      <c r="B95" s="5"/>
      <c r="C95" s="5"/>
      <c r="D95" s="5"/>
      <c r="E95" s="5"/>
    </row>
    <row r="96" spans="2:5" s="3" customFormat="1" x14ac:dyDescent="0.3">
      <c r="B96" s="5"/>
      <c r="C96" s="5"/>
      <c r="D96" s="5"/>
      <c r="E96" s="5"/>
    </row>
    <row r="97" spans="2:5" s="3" customFormat="1" x14ac:dyDescent="0.3">
      <c r="B97" s="5"/>
      <c r="C97" s="5"/>
      <c r="D97" s="5"/>
      <c r="E97" s="5"/>
    </row>
    <row r="98" spans="2:5" s="3" customFormat="1" x14ac:dyDescent="0.3">
      <c r="B98" s="5"/>
      <c r="C98" s="5"/>
      <c r="D98" s="5"/>
      <c r="E98" s="5"/>
    </row>
    <row r="99" spans="2:5" s="3" customFormat="1" x14ac:dyDescent="0.3">
      <c r="B99" s="5"/>
      <c r="C99" s="5"/>
      <c r="D99" s="5"/>
      <c r="E99" s="5"/>
    </row>
    <row r="100" spans="2:5" s="3" customFormat="1" x14ac:dyDescent="0.3">
      <c r="B100" s="5"/>
      <c r="C100" s="5"/>
      <c r="D100" s="5"/>
      <c r="E100" s="5"/>
    </row>
    <row r="101" spans="2:5" s="3" customFormat="1" x14ac:dyDescent="0.3">
      <c r="B101" s="5"/>
      <c r="C101" s="5"/>
      <c r="D101" s="5"/>
      <c r="E101" s="5"/>
    </row>
    <row r="102" spans="2:5" s="3" customFormat="1" x14ac:dyDescent="0.3">
      <c r="B102" s="5"/>
      <c r="C102" s="5"/>
      <c r="D102" s="5"/>
      <c r="E102" s="5"/>
    </row>
    <row r="103" spans="2:5" s="3" customFormat="1" x14ac:dyDescent="0.3">
      <c r="B103" s="5"/>
      <c r="C103" s="5"/>
      <c r="D103" s="5"/>
      <c r="E103" s="5"/>
    </row>
    <row r="104" spans="2:5" s="3" customFormat="1" x14ac:dyDescent="0.3">
      <c r="B104" s="5"/>
      <c r="C104" s="5"/>
      <c r="D104" s="5"/>
      <c r="E104" s="5"/>
    </row>
    <row r="105" spans="2:5" s="3" customFormat="1" x14ac:dyDescent="0.3">
      <c r="B105" s="5"/>
      <c r="C105" s="5"/>
      <c r="D105" s="5"/>
      <c r="E105" s="5"/>
    </row>
    <row r="106" spans="2:5" s="3" customFormat="1" x14ac:dyDescent="0.3">
      <c r="B106" s="5"/>
      <c r="C106" s="5"/>
      <c r="D106" s="5"/>
      <c r="E106" s="5"/>
    </row>
    <row r="107" spans="2:5" s="3" customFormat="1" x14ac:dyDescent="0.3">
      <c r="B107" s="5"/>
      <c r="C107" s="5"/>
      <c r="D107" s="5"/>
      <c r="E107" s="5"/>
    </row>
    <row r="108" spans="2:5" s="3" customFormat="1" x14ac:dyDescent="0.3">
      <c r="B108" s="5"/>
      <c r="C108" s="5"/>
      <c r="D108" s="5"/>
      <c r="E108" s="5"/>
    </row>
    <row r="109" spans="2:5" s="3" customFormat="1" x14ac:dyDescent="0.3">
      <c r="B109" s="5"/>
      <c r="C109" s="5"/>
      <c r="D109" s="5"/>
      <c r="E109" s="5"/>
    </row>
    <row r="110" spans="2:5" s="3" customFormat="1" x14ac:dyDescent="0.3">
      <c r="B110" s="5"/>
      <c r="C110" s="5"/>
      <c r="D110" s="5"/>
      <c r="E110" s="5"/>
    </row>
    <row r="111" spans="2:5" s="3" customFormat="1" x14ac:dyDescent="0.3">
      <c r="B111" s="5"/>
      <c r="C111" s="5"/>
      <c r="D111" s="5"/>
      <c r="E111" s="5"/>
    </row>
    <row r="112" spans="2:5" s="3" customFormat="1" x14ac:dyDescent="0.3">
      <c r="B112" s="5"/>
      <c r="C112" s="5"/>
      <c r="D112" s="5"/>
      <c r="E112" s="5"/>
    </row>
    <row r="113" spans="2:5" s="3" customFormat="1" x14ac:dyDescent="0.3">
      <c r="B113" s="5"/>
      <c r="C113" s="5"/>
      <c r="D113" s="5"/>
      <c r="E113" s="5"/>
    </row>
    <row r="114" spans="2:5" s="3" customFormat="1" x14ac:dyDescent="0.3">
      <c r="B114" s="5"/>
      <c r="C114" s="5"/>
      <c r="D114" s="5"/>
      <c r="E114" s="5"/>
    </row>
    <row r="115" spans="2:5" s="3" customFormat="1" x14ac:dyDescent="0.3">
      <c r="B115" s="5"/>
      <c r="C115" s="5"/>
      <c r="D115" s="5"/>
      <c r="E115" s="5"/>
    </row>
    <row r="116" spans="2:5" s="3" customFormat="1" x14ac:dyDescent="0.3">
      <c r="B116" s="5"/>
      <c r="C116" s="5"/>
      <c r="D116" s="5"/>
      <c r="E116" s="5"/>
    </row>
    <row r="117" spans="2:5" s="3" customFormat="1" x14ac:dyDescent="0.3">
      <c r="B117" s="5"/>
      <c r="C117" s="5"/>
      <c r="D117" s="5"/>
      <c r="E117" s="5"/>
    </row>
    <row r="118" spans="2:5" s="3" customFormat="1" x14ac:dyDescent="0.3">
      <c r="B118" s="5"/>
      <c r="C118" s="5"/>
      <c r="D118" s="5"/>
      <c r="E118" s="5"/>
    </row>
    <row r="119" spans="2:5" s="3" customFormat="1" x14ac:dyDescent="0.3">
      <c r="B119" s="5"/>
      <c r="C119" s="5"/>
      <c r="D119" s="5"/>
      <c r="E119" s="5"/>
    </row>
    <row r="120" spans="2:5" s="3" customFormat="1" x14ac:dyDescent="0.3">
      <c r="B120" s="5"/>
      <c r="C120" s="5"/>
      <c r="D120" s="5"/>
      <c r="E120" s="5"/>
    </row>
    <row r="121" spans="2:5" s="3" customFormat="1" x14ac:dyDescent="0.3">
      <c r="B121" s="5"/>
      <c r="C121" s="5"/>
      <c r="D121" s="5"/>
      <c r="E121" s="5"/>
    </row>
    <row r="122" spans="2:5" s="3" customFormat="1" x14ac:dyDescent="0.3">
      <c r="B122" s="5"/>
      <c r="C122" s="5"/>
      <c r="D122" s="5"/>
      <c r="E122" s="5"/>
    </row>
    <row r="123" spans="2:5" s="3" customFormat="1" x14ac:dyDescent="0.3">
      <c r="B123" s="5"/>
      <c r="C123" s="5"/>
      <c r="D123" s="5"/>
      <c r="E123" s="5"/>
    </row>
    <row r="124" spans="2:5" s="3" customFormat="1" x14ac:dyDescent="0.3">
      <c r="B124" s="5"/>
      <c r="C124" s="5"/>
      <c r="D124" s="5"/>
      <c r="E124" s="5"/>
    </row>
    <row r="125" spans="2:5" s="3" customFormat="1" x14ac:dyDescent="0.3">
      <c r="B125" s="5"/>
      <c r="C125" s="5"/>
      <c r="D125" s="5"/>
      <c r="E125" s="5"/>
    </row>
    <row r="126" spans="2:5" s="3" customFormat="1" x14ac:dyDescent="0.3">
      <c r="B126" s="5"/>
      <c r="C126" s="5"/>
      <c r="D126" s="5"/>
      <c r="E126" s="5"/>
    </row>
    <row r="127" spans="2:5" s="3" customFormat="1" x14ac:dyDescent="0.3">
      <c r="B127" s="5"/>
      <c r="C127" s="5"/>
      <c r="D127" s="5"/>
      <c r="E127" s="5"/>
    </row>
    <row r="128" spans="2:5" s="3" customFormat="1" x14ac:dyDescent="0.3">
      <c r="B128" s="5"/>
      <c r="C128" s="5"/>
      <c r="D128" s="5"/>
      <c r="E128" s="5"/>
    </row>
    <row r="129" spans="2:5" s="3" customFormat="1" x14ac:dyDescent="0.3">
      <c r="B129" s="5"/>
      <c r="C129" s="5"/>
      <c r="D129" s="5"/>
      <c r="E129" s="5"/>
    </row>
    <row r="130" spans="2:5" s="3" customFormat="1" x14ac:dyDescent="0.3">
      <c r="B130" s="5"/>
      <c r="C130" s="5"/>
      <c r="D130" s="5"/>
      <c r="E130" s="5"/>
    </row>
    <row r="131" spans="2:5" s="3" customFormat="1" x14ac:dyDescent="0.3">
      <c r="B131" s="5"/>
      <c r="C131" s="5"/>
      <c r="D131" s="5"/>
      <c r="E131" s="5"/>
    </row>
    <row r="132" spans="2:5" s="3" customFormat="1" x14ac:dyDescent="0.3">
      <c r="B132" s="5"/>
      <c r="C132" s="5"/>
      <c r="D132" s="5"/>
      <c r="E132" s="5"/>
    </row>
    <row r="133" spans="2:5" s="3" customFormat="1" x14ac:dyDescent="0.3">
      <c r="B133" s="5"/>
      <c r="C133" s="5"/>
      <c r="D133" s="5"/>
      <c r="E133" s="5"/>
    </row>
    <row r="134" spans="2:5" s="3" customFormat="1" x14ac:dyDescent="0.3">
      <c r="B134" s="5"/>
      <c r="C134" s="5"/>
      <c r="D134" s="5"/>
      <c r="E134" s="5"/>
    </row>
    <row r="135" spans="2:5" s="3" customFormat="1" x14ac:dyDescent="0.3">
      <c r="B135" s="5"/>
      <c r="C135" s="5"/>
      <c r="D135" s="5"/>
      <c r="E135" s="5"/>
    </row>
    <row r="136" spans="2:5" s="3" customFormat="1" x14ac:dyDescent="0.3">
      <c r="B136" s="5"/>
      <c r="C136" s="5"/>
      <c r="D136" s="5"/>
      <c r="E136" s="5"/>
    </row>
    <row r="137" spans="2:5" s="3" customFormat="1" x14ac:dyDescent="0.3">
      <c r="B137" s="5"/>
      <c r="C137" s="5"/>
      <c r="D137" s="5"/>
      <c r="E137" s="5"/>
    </row>
    <row r="138" spans="2:5" s="3" customFormat="1" x14ac:dyDescent="0.3">
      <c r="B138" s="5"/>
      <c r="C138" s="5"/>
      <c r="D138" s="5"/>
      <c r="E138" s="5"/>
    </row>
    <row r="139" spans="2:5" s="3" customFormat="1" x14ac:dyDescent="0.3">
      <c r="B139" s="5"/>
      <c r="C139" s="5"/>
      <c r="D139" s="5"/>
      <c r="E139" s="5"/>
    </row>
    <row r="140" spans="2:5" s="3" customFormat="1" x14ac:dyDescent="0.3">
      <c r="B140" s="5"/>
      <c r="C140" s="5"/>
      <c r="D140" s="5"/>
      <c r="E140" s="5"/>
    </row>
    <row r="141" spans="2:5" s="3" customFormat="1" x14ac:dyDescent="0.3">
      <c r="B141" s="5"/>
      <c r="C141" s="5"/>
      <c r="D141" s="5"/>
      <c r="E141" s="5"/>
    </row>
    <row r="142" spans="2:5" s="3" customFormat="1" x14ac:dyDescent="0.3">
      <c r="B142" s="5"/>
      <c r="C142" s="5"/>
      <c r="D142" s="5"/>
      <c r="E142" s="5"/>
    </row>
    <row r="143" spans="2:5" s="3" customFormat="1" x14ac:dyDescent="0.3">
      <c r="B143" s="5"/>
      <c r="C143" s="5"/>
      <c r="D143" s="5"/>
      <c r="E143" s="5"/>
    </row>
    <row r="144" spans="2:5" s="3" customFormat="1" x14ac:dyDescent="0.3">
      <c r="B144" s="5"/>
      <c r="C144" s="5"/>
      <c r="D144" s="5"/>
      <c r="E144" s="5"/>
    </row>
    <row r="145" spans="2:5" s="3" customFormat="1" x14ac:dyDescent="0.3">
      <c r="B145" s="5"/>
      <c r="C145" s="5"/>
      <c r="D145" s="5"/>
      <c r="E145" s="5"/>
    </row>
    <row r="146" spans="2:5" s="3" customFormat="1" x14ac:dyDescent="0.3">
      <c r="B146" s="5"/>
      <c r="C146" s="5"/>
      <c r="D146" s="5"/>
      <c r="E146" s="5"/>
    </row>
    <row r="147" spans="2:5" s="3" customFormat="1" x14ac:dyDescent="0.3">
      <c r="B147" s="5"/>
      <c r="C147" s="5"/>
      <c r="D147" s="5"/>
      <c r="E147" s="5"/>
    </row>
    <row r="148" spans="2:5" s="3" customFormat="1" x14ac:dyDescent="0.3">
      <c r="B148" s="5"/>
      <c r="C148" s="5"/>
      <c r="D148" s="5"/>
      <c r="E148" s="5"/>
    </row>
    <row r="149" spans="2:5" s="3" customFormat="1" x14ac:dyDescent="0.3">
      <c r="B149" s="5"/>
      <c r="C149" s="5"/>
      <c r="D149" s="5"/>
      <c r="E149" s="5"/>
    </row>
    <row r="150" spans="2:5" s="3" customFormat="1" x14ac:dyDescent="0.3">
      <c r="B150" s="5"/>
      <c r="C150" s="5"/>
      <c r="D150" s="5"/>
      <c r="E150" s="5"/>
    </row>
    <row r="151" spans="2:5" s="3" customFormat="1" x14ac:dyDescent="0.3">
      <c r="B151" s="5"/>
      <c r="C151" s="5"/>
      <c r="D151" s="5"/>
      <c r="E151" s="5"/>
    </row>
    <row r="152" spans="2:5" s="3" customFormat="1" x14ac:dyDescent="0.3">
      <c r="B152" s="5"/>
      <c r="C152" s="5"/>
      <c r="D152" s="5"/>
      <c r="E152" s="5"/>
    </row>
    <row r="153" spans="2:5" s="3" customFormat="1" x14ac:dyDescent="0.3">
      <c r="B153" s="5"/>
      <c r="C153" s="5"/>
      <c r="D153" s="5"/>
      <c r="E153" s="5"/>
    </row>
    <row r="154" spans="2:5" s="3" customFormat="1" x14ac:dyDescent="0.3">
      <c r="B154" s="5"/>
      <c r="C154" s="5"/>
      <c r="D154" s="5"/>
      <c r="E154" s="5"/>
    </row>
    <row r="155" spans="2:5" s="3" customFormat="1" x14ac:dyDescent="0.3">
      <c r="B155" s="5"/>
      <c r="C155" s="5"/>
      <c r="D155" s="5"/>
      <c r="E155" s="5"/>
    </row>
    <row r="156" spans="2:5" s="3" customFormat="1" x14ac:dyDescent="0.3">
      <c r="B156" s="5"/>
      <c r="C156" s="5"/>
      <c r="D156" s="5"/>
      <c r="E156" s="5"/>
    </row>
    <row r="157" spans="2:5" s="3" customFormat="1" x14ac:dyDescent="0.3">
      <c r="B157" s="5"/>
      <c r="C157" s="5"/>
      <c r="D157" s="5"/>
      <c r="E157" s="5"/>
    </row>
    <row r="158" spans="2:5" s="3" customFormat="1" x14ac:dyDescent="0.3">
      <c r="B158" s="5"/>
      <c r="C158" s="5"/>
      <c r="D158" s="5"/>
      <c r="E158" s="5"/>
    </row>
    <row r="159" spans="2:5" s="3" customFormat="1" x14ac:dyDescent="0.3">
      <c r="B159" s="5"/>
      <c r="C159" s="5"/>
      <c r="D159" s="5"/>
      <c r="E159" s="5"/>
    </row>
    <row r="160" spans="2:5" s="3" customFormat="1" x14ac:dyDescent="0.3">
      <c r="B160" s="5"/>
      <c r="C160" s="5"/>
      <c r="D160" s="5"/>
      <c r="E160" s="5"/>
    </row>
    <row r="161" spans="2:5" s="3" customFormat="1" x14ac:dyDescent="0.3">
      <c r="B161" s="5"/>
      <c r="C161" s="5"/>
      <c r="D161" s="5"/>
      <c r="E161" s="5"/>
    </row>
    <row r="162" spans="2:5" s="3" customFormat="1" x14ac:dyDescent="0.3">
      <c r="B162" s="5"/>
      <c r="C162" s="5"/>
      <c r="D162" s="5"/>
      <c r="E162" s="5"/>
    </row>
    <row r="163" spans="2:5" s="3" customFormat="1" x14ac:dyDescent="0.3">
      <c r="B163" s="5"/>
      <c r="C163" s="5"/>
      <c r="D163" s="5"/>
      <c r="E163" s="5"/>
    </row>
    <row r="164" spans="2:5" s="3" customFormat="1" x14ac:dyDescent="0.3">
      <c r="B164" s="5"/>
      <c r="C164" s="5"/>
      <c r="D164" s="5"/>
      <c r="E164" s="5"/>
    </row>
    <row r="165" spans="2:5" s="3" customFormat="1" x14ac:dyDescent="0.3">
      <c r="B165" s="5"/>
      <c r="C165" s="5"/>
      <c r="D165" s="5"/>
      <c r="E165" s="5"/>
    </row>
    <row r="166" spans="2:5" s="3" customFormat="1" x14ac:dyDescent="0.3">
      <c r="B166" s="5"/>
      <c r="C166" s="5"/>
      <c r="D166" s="5"/>
      <c r="E166" s="5"/>
    </row>
    <row r="167" spans="2:5" s="3" customFormat="1" x14ac:dyDescent="0.3">
      <c r="B167" s="5"/>
      <c r="C167" s="5"/>
      <c r="D167" s="5"/>
      <c r="E167" s="5"/>
    </row>
    <row r="168" spans="2:5" s="3" customFormat="1" x14ac:dyDescent="0.3">
      <c r="B168" s="5"/>
      <c r="C168" s="5"/>
      <c r="D168" s="5"/>
      <c r="E168" s="5"/>
    </row>
    <row r="169" spans="2:5" s="3" customFormat="1" x14ac:dyDescent="0.3">
      <c r="B169" s="5"/>
      <c r="C169" s="5"/>
      <c r="D169" s="5"/>
      <c r="E169" s="5"/>
    </row>
    <row r="170" spans="2:5" s="3" customFormat="1" x14ac:dyDescent="0.3">
      <c r="B170" s="5"/>
      <c r="C170" s="5"/>
      <c r="D170" s="5"/>
      <c r="E170" s="5"/>
    </row>
    <row r="171" spans="2:5" s="3" customFormat="1" x14ac:dyDescent="0.3">
      <c r="B171" s="5"/>
      <c r="C171" s="5"/>
      <c r="D171" s="5"/>
      <c r="E171" s="5"/>
    </row>
    <row r="172" spans="2:5" s="3" customFormat="1" x14ac:dyDescent="0.3">
      <c r="B172" s="5"/>
      <c r="C172" s="5"/>
      <c r="D172" s="5"/>
      <c r="E172" s="5"/>
    </row>
    <row r="173" spans="2:5" s="3" customFormat="1" x14ac:dyDescent="0.3">
      <c r="B173" s="5"/>
      <c r="C173" s="5"/>
      <c r="D173" s="5"/>
      <c r="E173" s="5"/>
    </row>
    <row r="174" spans="2:5" s="3" customFormat="1" x14ac:dyDescent="0.3">
      <c r="B174" s="5"/>
      <c r="C174" s="5"/>
      <c r="D174" s="5"/>
      <c r="E174" s="5"/>
    </row>
    <row r="175" spans="2:5" s="3" customFormat="1" x14ac:dyDescent="0.3">
      <c r="B175" s="5"/>
      <c r="C175" s="5"/>
      <c r="D175" s="5"/>
      <c r="E175" s="5"/>
    </row>
    <row r="176" spans="2:5" s="3" customFormat="1" x14ac:dyDescent="0.3">
      <c r="B176" s="5"/>
      <c r="C176" s="5"/>
      <c r="D176" s="5"/>
      <c r="E176" s="5"/>
    </row>
    <row r="177" spans="2:5" s="3" customFormat="1" x14ac:dyDescent="0.3">
      <c r="B177" s="5"/>
      <c r="C177" s="5"/>
      <c r="D177" s="5"/>
      <c r="E177" s="5"/>
    </row>
    <row r="178" spans="2:5" s="3" customFormat="1" x14ac:dyDescent="0.3">
      <c r="B178" s="5"/>
      <c r="C178" s="5"/>
      <c r="D178" s="5"/>
      <c r="E178" s="5"/>
    </row>
    <row r="179" spans="2:5" s="3" customFormat="1" x14ac:dyDescent="0.3">
      <c r="B179" s="5"/>
      <c r="C179" s="5"/>
      <c r="D179" s="5"/>
      <c r="E179" s="5"/>
    </row>
    <row r="180" spans="2:5" s="3" customFormat="1" x14ac:dyDescent="0.3">
      <c r="B180" s="5"/>
      <c r="C180" s="5"/>
      <c r="D180" s="5"/>
      <c r="E180" s="5"/>
    </row>
    <row r="181" spans="2:5" s="3" customFormat="1" x14ac:dyDescent="0.3">
      <c r="B181" s="5"/>
      <c r="C181" s="5"/>
      <c r="D181" s="5"/>
      <c r="E181" s="5"/>
    </row>
    <row r="182" spans="2:5" s="3" customFormat="1" x14ac:dyDescent="0.3">
      <c r="B182" s="5"/>
      <c r="C182" s="5"/>
      <c r="D182" s="5"/>
      <c r="E182" s="5"/>
    </row>
    <row r="183" spans="2:5" s="3" customFormat="1" x14ac:dyDescent="0.3">
      <c r="B183" s="5"/>
      <c r="C183" s="5"/>
      <c r="D183" s="5"/>
      <c r="E183" s="5"/>
    </row>
    <row r="184" spans="2:5" s="3" customFormat="1" x14ac:dyDescent="0.3">
      <c r="B184" s="5"/>
      <c r="C184" s="5"/>
      <c r="D184" s="5"/>
      <c r="E184" s="5"/>
    </row>
    <row r="185" spans="2:5" s="3" customFormat="1" x14ac:dyDescent="0.3">
      <c r="B185" s="5"/>
      <c r="C185" s="5"/>
      <c r="D185" s="5"/>
      <c r="E185" s="5"/>
    </row>
    <row r="186" spans="2:5" s="3" customFormat="1" x14ac:dyDescent="0.3">
      <c r="B186" s="5"/>
      <c r="C186" s="5"/>
      <c r="D186" s="5"/>
      <c r="E186" s="5"/>
    </row>
    <row r="187" spans="2:5" s="3" customFormat="1" x14ac:dyDescent="0.3">
      <c r="B187" s="5"/>
      <c r="C187" s="5"/>
      <c r="D187" s="5"/>
      <c r="E187" s="5"/>
    </row>
    <row r="188" spans="2:5" s="3" customFormat="1" x14ac:dyDescent="0.3">
      <c r="B188" s="5"/>
      <c r="C188" s="5"/>
      <c r="D188" s="5"/>
      <c r="E188" s="5"/>
    </row>
    <row r="189" spans="2:5" s="3" customFormat="1" x14ac:dyDescent="0.3">
      <c r="B189" s="5"/>
      <c r="C189" s="5"/>
      <c r="D189" s="5"/>
      <c r="E189" s="5"/>
    </row>
    <row r="190" spans="2:5" s="3" customFormat="1" x14ac:dyDescent="0.3">
      <c r="B190" s="5"/>
      <c r="C190" s="5"/>
      <c r="D190" s="5"/>
      <c r="E190" s="5"/>
    </row>
    <row r="191" spans="2:5" s="3" customFormat="1" x14ac:dyDescent="0.3">
      <c r="B191" s="5"/>
      <c r="C191" s="5"/>
      <c r="D191" s="5"/>
      <c r="E191" s="5"/>
    </row>
    <row r="192" spans="2:5" s="3" customFormat="1" x14ac:dyDescent="0.3">
      <c r="B192" s="5"/>
      <c r="C192" s="5"/>
      <c r="D192" s="5"/>
      <c r="E192" s="5"/>
    </row>
    <row r="193" spans="2:5" s="3" customFormat="1" x14ac:dyDescent="0.3">
      <c r="B193" s="5"/>
      <c r="C193" s="5"/>
      <c r="D193" s="5"/>
      <c r="E193" s="5"/>
    </row>
    <row r="194" spans="2:5" s="3" customFormat="1" x14ac:dyDescent="0.3">
      <c r="B194" s="5"/>
      <c r="C194" s="5"/>
      <c r="D194" s="5"/>
      <c r="E194" s="5"/>
    </row>
    <row r="195" spans="2:5" s="3" customFormat="1" x14ac:dyDescent="0.3">
      <c r="B195" s="5"/>
      <c r="C195" s="5"/>
      <c r="D195" s="5"/>
      <c r="E195" s="5"/>
    </row>
    <row r="196" spans="2:5" s="3" customFormat="1" x14ac:dyDescent="0.3">
      <c r="B196" s="5"/>
      <c r="C196" s="5"/>
      <c r="D196" s="5"/>
      <c r="E196" s="5"/>
    </row>
    <row r="197" spans="2:5" s="3" customFormat="1" x14ac:dyDescent="0.3">
      <c r="B197" s="5"/>
      <c r="C197" s="5"/>
      <c r="D197" s="5"/>
      <c r="E197" s="5"/>
    </row>
    <row r="198" spans="2:5" s="3" customFormat="1" x14ac:dyDescent="0.3">
      <c r="B198" s="5"/>
      <c r="C198" s="5"/>
      <c r="D198" s="5"/>
      <c r="E198" s="5"/>
    </row>
    <row r="199" spans="2:5" s="3" customFormat="1" x14ac:dyDescent="0.3">
      <c r="B199" s="5"/>
      <c r="C199" s="5"/>
      <c r="D199" s="5"/>
      <c r="E199" s="5"/>
    </row>
    <row r="200" spans="2:5" s="3" customFormat="1" x14ac:dyDescent="0.3">
      <c r="B200" s="5"/>
      <c r="C200" s="5"/>
      <c r="D200" s="5"/>
      <c r="E200" s="5"/>
    </row>
    <row r="201" spans="2:5" s="3" customFormat="1" x14ac:dyDescent="0.3">
      <c r="B201" s="5"/>
      <c r="C201" s="5"/>
      <c r="D201" s="5"/>
      <c r="E201" s="5"/>
    </row>
    <row r="202" spans="2:5" s="3" customFormat="1" x14ac:dyDescent="0.3">
      <c r="B202" s="5"/>
      <c r="C202" s="5"/>
      <c r="D202" s="5"/>
      <c r="E202" s="5"/>
    </row>
    <row r="203" spans="2:5" s="3" customFormat="1" x14ac:dyDescent="0.3">
      <c r="B203" s="5"/>
      <c r="C203" s="5"/>
      <c r="D203" s="5"/>
      <c r="E203" s="5"/>
    </row>
    <row r="204" spans="2:5" s="3" customFormat="1" x14ac:dyDescent="0.3">
      <c r="B204" s="5"/>
      <c r="C204" s="5"/>
      <c r="D204" s="5"/>
      <c r="E204" s="5"/>
    </row>
    <row r="205" spans="2:5" s="3" customFormat="1" x14ac:dyDescent="0.3">
      <c r="B205" s="5"/>
      <c r="C205" s="5"/>
      <c r="D205" s="5"/>
      <c r="E205" s="5"/>
    </row>
    <row r="206" spans="2:5" s="3" customFormat="1" x14ac:dyDescent="0.3">
      <c r="B206" s="5"/>
      <c r="C206" s="5"/>
      <c r="D206" s="5"/>
      <c r="E206" s="5"/>
    </row>
    <row r="207" spans="2:5" s="3" customFormat="1" x14ac:dyDescent="0.3">
      <c r="B207" s="5"/>
      <c r="C207" s="5"/>
      <c r="D207" s="5"/>
      <c r="E207" s="5"/>
    </row>
    <row r="208" spans="2:5" s="3" customFormat="1" x14ac:dyDescent="0.3">
      <c r="B208" s="5"/>
      <c r="C208" s="5"/>
      <c r="D208" s="5"/>
      <c r="E208" s="5"/>
    </row>
    <row r="209" spans="2:5" s="3" customFormat="1" x14ac:dyDescent="0.3">
      <c r="B209" s="5"/>
      <c r="C209" s="5"/>
      <c r="D209" s="5"/>
      <c r="E209" s="5"/>
    </row>
    <row r="210" spans="2:5" s="3" customFormat="1" x14ac:dyDescent="0.3">
      <c r="B210" s="5"/>
      <c r="C210" s="5"/>
      <c r="D210" s="5"/>
      <c r="E210" s="5"/>
    </row>
    <row r="211" spans="2:5" s="3" customFormat="1" x14ac:dyDescent="0.3">
      <c r="B211" s="5"/>
      <c r="C211" s="5"/>
      <c r="D211" s="5"/>
      <c r="E211" s="5"/>
    </row>
    <row r="212" spans="2:5" s="3" customFormat="1" x14ac:dyDescent="0.3">
      <c r="B212" s="5"/>
      <c r="C212" s="5"/>
      <c r="D212" s="5"/>
      <c r="E212" s="5"/>
    </row>
    <row r="213" spans="2:5" s="3" customFormat="1" x14ac:dyDescent="0.3">
      <c r="B213" s="5"/>
      <c r="C213" s="5"/>
      <c r="D213" s="5"/>
      <c r="E213" s="5"/>
    </row>
    <row r="214" spans="2:5" s="3" customFormat="1" x14ac:dyDescent="0.3">
      <c r="B214" s="5"/>
      <c r="C214" s="5"/>
      <c r="D214" s="5"/>
      <c r="E214" s="5"/>
    </row>
    <row r="215" spans="2:5" s="3" customFormat="1" x14ac:dyDescent="0.3">
      <c r="B215" s="5"/>
      <c r="C215" s="5"/>
      <c r="D215" s="5"/>
      <c r="E215" s="5"/>
    </row>
    <row r="216" spans="2:5" s="3" customFormat="1" x14ac:dyDescent="0.3">
      <c r="B216" s="5"/>
      <c r="C216" s="5"/>
      <c r="D216" s="5"/>
      <c r="E216" s="5"/>
    </row>
    <row r="217" spans="2:5" s="3" customFormat="1" x14ac:dyDescent="0.3">
      <c r="B217" s="5"/>
      <c r="C217" s="5"/>
      <c r="D217" s="5"/>
      <c r="E217" s="5"/>
    </row>
    <row r="218" spans="2:5" s="3" customFormat="1" x14ac:dyDescent="0.3">
      <c r="B218" s="5"/>
      <c r="C218" s="5"/>
      <c r="D218" s="5"/>
      <c r="E218" s="5"/>
    </row>
    <row r="219" spans="2:5" s="3" customFormat="1" x14ac:dyDescent="0.3">
      <c r="B219" s="5"/>
      <c r="C219" s="5"/>
      <c r="D219" s="5"/>
      <c r="E219" s="5"/>
    </row>
    <row r="220" spans="2:5" s="3" customFormat="1" x14ac:dyDescent="0.3">
      <c r="B220" s="5"/>
      <c r="C220" s="5"/>
      <c r="D220" s="5"/>
      <c r="E220" s="5"/>
    </row>
    <row r="221" spans="2:5" s="3" customFormat="1" x14ac:dyDescent="0.3">
      <c r="B221" s="5"/>
      <c r="C221" s="5"/>
      <c r="D221" s="5"/>
      <c r="E221" s="5"/>
    </row>
    <row r="222" spans="2:5" s="3" customFormat="1" x14ac:dyDescent="0.3">
      <c r="B222" s="5"/>
      <c r="C222" s="5"/>
      <c r="D222" s="5"/>
      <c r="E222" s="5"/>
    </row>
    <row r="223" spans="2:5" s="3" customFormat="1" x14ac:dyDescent="0.3">
      <c r="B223" s="5"/>
      <c r="C223" s="5"/>
      <c r="D223" s="5"/>
      <c r="E223" s="5"/>
    </row>
    <row r="224" spans="2:5" s="3" customFormat="1" x14ac:dyDescent="0.3">
      <c r="B224" s="5"/>
      <c r="C224" s="5"/>
      <c r="D224" s="5"/>
      <c r="E224" s="5"/>
    </row>
    <row r="225" spans="2:5" s="3" customFormat="1" x14ac:dyDescent="0.3">
      <c r="B225" s="5"/>
      <c r="C225" s="5"/>
      <c r="D225" s="5"/>
      <c r="E225" s="5"/>
    </row>
    <row r="226" spans="2:5" s="3" customFormat="1" x14ac:dyDescent="0.3">
      <c r="B226" s="5"/>
      <c r="C226" s="5"/>
      <c r="D226" s="5"/>
      <c r="E226" s="5"/>
    </row>
    <row r="227" spans="2:5" s="3" customFormat="1" x14ac:dyDescent="0.3">
      <c r="B227" s="5"/>
      <c r="C227" s="5"/>
      <c r="D227" s="5"/>
      <c r="E227" s="5"/>
    </row>
    <row r="228" spans="2:5" s="3" customFormat="1" x14ac:dyDescent="0.3">
      <c r="B228" s="5"/>
      <c r="C228" s="5"/>
      <c r="D228" s="5"/>
      <c r="E228" s="5"/>
    </row>
    <row r="229" spans="2:5" s="3" customFormat="1" x14ac:dyDescent="0.3">
      <c r="B229" s="5"/>
      <c r="C229" s="5"/>
      <c r="D229" s="5"/>
      <c r="E229" s="5"/>
    </row>
    <row r="230" spans="2:5" s="3" customFormat="1" x14ac:dyDescent="0.3">
      <c r="B230" s="5"/>
      <c r="C230" s="5"/>
      <c r="D230" s="5"/>
      <c r="E230" s="5"/>
    </row>
    <row r="231" spans="2:5" s="3" customFormat="1" x14ac:dyDescent="0.3">
      <c r="B231" s="5"/>
      <c r="C231" s="5"/>
      <c r="D231" s="5"/>
      <c r="E231" s="5"/>
    </row>
    <row r="232" spans="2:5" s="3" customFormat="1" x14ac:dyDescent="0.3">
      <c r="B232" s="5"/>
      <c r="C232" s="5"/>
      <c r="D232" s="5"/>
      <c r="E232" s="5"/>
    </row>
    <row r="233" spans="2:5" s="3" customFormat="1" x14ac:dyDescent="0.3">
      <c r="B233" s="5"/>
      <c r="C233" s="5"/>
      <c r="D233" s="5"/>
      <c r="E233" s="5"/>
    </row>
    <row r="234" spans="2:5" s="3" customFormat="1" x14ac:dyDescent="0.3">
      <c r="B234" s="5"/>
      <c r="C234" s="5"/>
      <c r="D234" s="5"/>
      <c r="E234" s="5"/>
    </row>
    <row r="235" spans="2:5" s="3" customFormat="1" x14ac:dyDescent="0.3">
      <c r="B235" s="5"/>
      <c r="C235" s="5"/>
      <c r="D235" s="5"/>
      <c r="E235" s="5"/>
    </row>
    <row r="236" spans="2:5" s="3" customFormat="1" x14ac:dyDescent="0.3">
      <c r="B236" s="5"/>
      <c r="C236" s="5"/>
      <c r="D236" s="5"/>
      <c r="E236" s="5"/>
    </row>
    <row r="237" spans="2:5" s="3" customFormat="1" x14ac:dyDescent="0.3">
      <c r="B237" s="5"/>
      <c r="C237" s="5"/>
      <c r="D237" s="5"/>
      <c r="E237" s="5"/>
    </row>
    <row r="238" spans="2:5" s="3" customFormat="1" x14ac:dyDescent="0.3">
      <c r="B238" s="5"/>
      <c r="C238" s="5"/>
      <c r="D238" s="5"/>
      <c r="E238" s="5"/>
    </row>
    <row r="239" spans="2:5" s="3" customFormat="1" x14ac:dyDescent="0.3">
      <c r="B239" s="5"/>
      <c r="C239" s="5"/>
      <c r="D239" s="5"/>
      <c r="E239" s="5"/>
    </row>
    <row r="240" spans="2:5" s="3" customFormat="1" x14ac:dyDescent="0.3">
      <c r="B240" s="5"/>
      <c r="C240" s="5"/>
      <c r="D240" s="5"/>
      <c r="E240" s="5"/>
    </row>
    <row r="241" spans="2:5" s="3" customFormat="1" x14ac:dyDescent="0.3">
      <c r="B241" s="5"/>
      <c r="C241" s="5"/>
      <c r="D241" s="5"/>
      <c r="E241" s="5"/>
    </row>
    <row r="242" spans="2:5" s="3" customFormat="1" x14ac:dyDescent="0.3">
      <c r="B242" s="5"/>
      <c r="C242" s="5"/>
      <c r="D242" s="5"/>
      <c r="E242" s="5"/>
    </row>
    <row r="243" spans="2:5" s="3" customFormat="1" x14ac:dyDescent="0.3">
      <c r="B243" s="5"/>
      <c r="C243" s="5"/>
      <c r="D243" s="5"/>
      <c r="E243" s="5"/>
    </row>
    <row r="244" spans="2:5" s="3" customFormat="1" x14ac:dyDescent="0.3">
      <c r="B244" s="5"/>
      <c r="C244" s="5"/>
      <c r="D244" s="5"/>
      <c r="E244" s="5"/>
    </row>
    <row r="245" spans="2:5" s="3" customFormat="1" x14ac:dyDescent="0.3">
      <c r="B245" s="5"/>
      <c r="C245" s="5"/>
      <c r="D245" s="5"/>
      <c r="E245" s="5"/>
    </row>
    <row r="246" spans="2:5" s="3" customFormat="1" x14ac:dyDescent="0.3">
      <c r="B246" s="5"/>
      <c r="C246" s="5"/>
      <c r="D246" s="5"/>
      <c r="E246" s="5"/>
    </row>
    <row r="247" spans="2:5" s="3" customFormat="1" x14ac:dyDescent="0.3">
      <c r="B247" s="5"/>
      <c r="C247" s="5"/>
      <c r="D247" s="5"/>
      <c r="E247" s="5"/>
    </row>
    <row r="248" spans="2:5" s="3" customFormat="1" x14ac:dyDescent="0.3">
      <c r="B248" s="5"/>
      <c r="C248" s="5"/>
      <c r="D248" s="5"/>
      <c r="E248" s="5"/>
    </row>
    <row r="249" spans="2:5" s="3" customFormat="1" x14ac:dyDescent="0.3">
      <c r="B249" s="5"/>
      <c r="C249" s="5"/>
      <c r="D249" s="5"/>
      <c r="E249" s="5"/>
    </row>
    <row r="250" spans="2:5" s="3" customFormat="1" x14ac:dyDescent="0.3">
      <c r="B250" s="5"/>
      <c r="C250" s="5"/>
      <c r="D250" s="5"/>
      <c r="E250" s="5"/>
    </row>
    <row r="251" spans="2:5" s="3" customFormat="1" x14ac:dyDescent="0.3">
      <c r="B251" s="5"/>
      <c r="C251" s="5"/>
      <c r="D251" s="5"/>
      <c r="E251" s="5"/>
    </row>
    <row r="252" spans="2:5" s="3" customFormat="1" x14ac:dyDescent="0.3">
      <c r="B252" s="5"/>
      <c r="C252" s="5"/>
      <c r="D252" s="5"/>
      <c r="E252" s="5"/>
    </row>
    <row r="253" spans="2:5" s="3" customFormat="1" x14ac:dyDescent="0.3">
      <c r="B253" s="5"/>
      <c r="C253" s="5"/>
      <c r="D253" s="5"/>
      <c r="E253" s="5"/>
    </row>
    <row r="254" spans="2:5" s="3" customFormat="1" x14ac:dyDescent="0.3">
      <c r="B254" s="5"/>
      <c r="C254" s="5"/>
      <c r="D254" s="5"/>
      <c r="E254" s="5"/>
    </row>
    <row r="255" spans="2:5" s="3" customFormat="1" x14ac:dyDescent="0.3">
      <c r="B255" s="5"/>
      <c r="C255" s="5"/>
      <c r="D255" s="5"/>
      <c r="E255" s="5"/>
    </row>
    <row r="256" spans="2:5" s="3" customFormat="1" x14ac:dyDescent="0.3">
      <c r="B256" s="5"/>
      <c r="C256" s="5"/>
      <c r="D256" s="5"/>
      <c r="E256" s="5"/>
    </row>
    <row r="257" spans="2:5" s="3" customFormat="1" x14ac:dyDescent="0.3">
      <c r="B257" s="5"/>
      <c r="C257" s="5"/>
      <c r="D257" s="5"/>
      <c r="E257" s="5"/>
    </row>
    <row r="258" spans="2:5" s="3" customFormat="1" x14ac:dyDescent="0.3">
      <c r="B258" s="5"/>
      <c r="C258" s="5"/>
      <c r="D258" s="5"/>
      <c r="E258" s="5"/>
    </row>
    <row r="259" spans="2:5" s="3" customFormat="1" x14ac:dyDescent="0.3">
      <c r="B259" s="5"/>
      <c r="C259" s="5"/>
      <c r="D259" s="5"/>
      <c r="E259" s="5"/>
    </row>
    <row r="260" spans="2:5" s="3" customFormat="1" x14ac:dyDescent="0.3">
      <c r="B260" s="5"/>
      <c r="C260" s="5"/>
      <c r="D260" s="5"/>
      <c r="E260" s="5"/>
    </row>
    <row r="261" spans="2:5" s="3" customFormat="1" x14ac:dyDescent="0.3">
      <c r="B261" s="5"/>
      <c r="C261" s="5"/>
      <c r="D261" s="5"/>
      <c r="E261" s="5"/>
    </row>
    <row r="262" spans="2:5" s="3" customFormat="1" x14ac:dyDescent="0.3">
      <c r="B262" s="5"/>
      <c r="C262" s="5"/>
      <c r="D262" s="5"/>
      <c r="E262" s="5"/>
    </row>
    <row r="263" spans="2:5" s="3" customFormat="1" x14ac:dyDescent="0.3">
      <c r="B263" s="5"/>
      <c r="C263" s="5"/>
      <c r="D263" s="5"/>
      <c r="E263" s="5"/>
    </row>
    <row r="264" spans="2:5" s="3" customFormat="1" x14ac:dyDescent="0.3">
      <c r="B264" s="5"/>
      <c r="C264" s="5"/>
      <c r="D264" s="5"/>
      <c r="E264" s="5"/>
    </row>
    <row r="265" spans="2:5" s="3" customFormat="1" x14ac:dyDescent="0.3">
      <c r="B265" s="5"/>
      <c r="C265" s="5"/>
      <c r="D265" s="5"/>
      <c r="E265" s="5"/>
    </row>
    <row r="266" spans="2:5" s="3" customFormat="1" x14ac:dyDescent="0.3">
      <c r="B266" s="5"/>
      <c r="C266" s="5"/>
      <c r="D266" s="5"/>
      <c r="E266" s="5"/>
    </row>
    <row r="267" spans="2:5" s="3" customFormat="1" x14ac:dyDescent="0.3">
      <c r="B267" s="5"/>
      <c r="C267" s="5"/>
      <c r="D267" s="5"/>
      <c r="E267" s="5"/>
    </row>
    <row r="268" spans="2:5" s="3" customFormat="1" x14ac:dyDescent="0.3">
      <c r="B268" s="5"/>
      <c r="C268" s="5"/>
      <c r="D268" s="5"/>
      <c r="E268" s="5"/>
    </row>
    <row r="269" spans="2:5" s="3" customFormat="1" x14ac:dyDescent="0.3">
      <c r="B269" s="5"/>
      <c r="C269" s="5"/>
      <c r="D269" s="5"/>
      <c r="E269" s="5"/>
    </row>
    <row r="270" spans="2:5" s="3" customFormat="1" x14ac:dyDescent="0.3">
      <c r="B270" s="5"/>
      <c r="C270" s="5"/>
      <c r="D270" s="5"/>
      <c r="E270" s="5"/>
    </row>
    <row r="271" spans="2:5" s="3" customFormat="1" x14ac:dyDescent="0.3">
      <c r="B271" s="5"/>
      <c r="C271" s="5"/>
      <c r="D271" s="5"/>
      <c r="E271" s="5"/>
    </row>
    <row r="272" spans="2:5" s="3" customFormat="1" x14ac:dyDescent="0.3">
      <c r="B272" s="5"/>
      <c r="C272" s="5"/>
      <c r="D272" s="5"/>
      <c r="E272" s="5"/>
    </row>
    <row r="273" spans="2:5" s="3" customFormat="1" x14ac:dyDescent="0.3">
      <c r="B273" s="5"/>
      <c r="C273" s="5"/>
      <c r="D273" s="5"/>
      <c r="E273" s="5"/>
    </row>
    <row r="274" spans="2:5" s="3" customFormat="1" x14ac:dyDescent="0.3">
      <c r="B274" s="5"/>
      <c r="C274" s="5"/>
      <c r="D274" s="5"/>
      <c r="E274" s="5"/>
    </row>
    <row r="275" spans="2:5" s="3" customFormat="1" x14ac:dyDescent="0.3">
      <c r="B275" s="5"/>
      <c r="C275" s="5"/>
      <c r="D275" s="5"/>
      <c r="E275" s="5"/>
    </row>
    <row r="276" spans="2:5" s="3" customFormat="1" x14ac:dyDescent="0.3">
      <c r="B276" s="5"/>
      <c r="C276" s="5"/>
      <c r="D276" s="5"/>
      <c r="E276" s="5"/>
    </row>
    <row r="277" spans="2:5" s="3" customFormat="1" x14ac:dyDescent="0.3">
      <c r="B277" s="5"/>
      <c r="C277" s="5"/>
      <c r="D277" s="5"/>
      <c r="E277" s="5"/>
    </row>
    <row r="278" spans="2:5" s="3" customFormat="1" x14ac:dyDescent="0.3">
      <c r="B278" s="5"/>
      <c r="C278" s="5"/>
      <c r="D278" s="5"/>
      <c r="E278" s="5"/>
    </row>
    <row r="279" spans="2:5" s="3" customFormat="1" x14ac:dyDescent="0.3">
      <c r="B279" s="5"/>
      <c r="C279" s="5"/>
      <c r="D279" s="5"/>
      <c r="E279" s="5"/>
    </row>
    <row r="280" spans="2:5" s="3" customFormat="1" x14ac:dyDescent="0.3">
      <c r="B280" s="5"/>
      <c r="C280" s="5"/>
      <c r="D280" s="5"/>
      <c r="E280" s="5"/>
    </row>
    <row r="281" spans="2:5" s="3" customFormat="1" x14ac:dyDescent="0.3">
      <c r="B281" s="5"/>
      <c r="C281" s="5"/>
      <c r="D281" s="5"/>
      <c r="E281" s="5"/>
    </row>
    <row r="282" spans="2:5" s="3" customFormat="1" x14ac:dyDescent="0.3">
      <c r="B282" s="5"/>
      <c r="C282" s="5"/>
      <c r="D282" s="5"/>
      <c r="E282" s="5"/>
    </row>
    <row r="283" spans="2:5" s="3" customFormat="1" x14ac:dyDescent="0.3">
      <c r="B283" s="5"/>
      <c r="C283" s="5"/>
      <c r="D283" s="5"/>
      <c r="E283" s="5"/>
    </row>
    <row r="284" spans="2:5" s="3" customFormat="1" x14ac:dyDescent="0.3">
      <c r="B284" s="5"/>
      <c r="C284" s="5"/>
      <c r="D284" s="5"/>
      <c r="E284" s="5"/>
    </row>
    <row r="285" spans="2:5" s="3" customFormat="1" x14ac:dyDescent="0.3">
      <c r="B285" s="5"/>
      <c r="C285" s="5"/>
      <c r="D285" s="5"/>
      <c r="E285" s="5"/>
    </row>
    <row r="286" spans="2:5" s="3" customFormat="1" x14ac:dyDescent="0.3">
      <c r="B286" s="5"/>
      <c r="C286" s="5"/>
      <c r="D286" s="5"/>
      <c r="E286" s="5"/>
    </row>
    <row r="287" spans="2:5" s="3" customFormat="1" x14ac:dyDescent="0.3">
      <c r="B287" s="5"/>
      <c r="C287" s="5"/>
      <c r="D287" s="5"/>
      <c r="E287" s="5"/>
    </row>
    <row r="288" spans="2:5" s="3" customFormat="1" x14ac:dyDescent="0.3">
      <c r="B288" s="5"/>
      <c r="C288" s="5"/>
      <c r="D288" s="5"/>
      <c r="E288" s="5"/>
    </row>
    <row r="289" spans="2:5" s="3" customFormat="1" x14ac:dyDescent="0.3">
      <c r="B289" s="5"/>
      <c r="C289" s="5"/>
      <c r="D289" s="5"/>
      <c r="E289" s="5"/>
    </row>
    <row r="290" spans="2:5" s="3" customFormat="1" x14ac:dyDescent="0.3">
      <c r="B290" s="5"/>
      <c r="C290" s="5"/>
      <c r="D290" s="5"/>
      <c r="E290" s="5"/>
    </row>
    <row r="291" spans="2:5" s="3" customFormat="1" x14ac:dyDescent="0.3">
      <c r="B291" s="5"/>
      <c r="C291" s="5"/>
      <c r="D291" s="5"/>
      <c r="E291" s="5"/>
    </row>
    <row r="292" spans="2:5" s="3" customFormat="1" x14ac:dyDescent="0.3">
      <c r="B292" s="5"/>
      <c r="C292" s="5"/>
      <c r="D292" s="5"/>
      <c r="E292" s="5"/>
    </row>
    <row r="293" spans="2:5" s="3" customFormat="1" x14ac:dyDescent="0.3">
      <c r="B293" s="5"/>
      <c r="C293" s="5"/>
      <c r="D293" s="5"/>
      <c r="E293" s="5"/>
    </row>
    <row r="294" spans="2:5" s="3" customFormat="1" x14ac:dyDescent="0.3">
      <c r="B294" s="5"/>
      <c r="C294" s="5"/>
      <c r="D294" s="5"/>
      <c r="E294" s="5"/>
    </row>
    <row r="295" spans="2:5" s="3" customFormat="1" x14ac:dyDescent="0.3">
      <c r="B295" s="5"/>
      <c r="C295" s="5"/>
      <c r="D295" s="5"/>
      <c r="E295" s="5"/>
    </row>
    <row r="296" spans="2:5" s="3" customFormat="1" x14ac:dyDescent="0.3">
      <c r="B296" s="5"/>
      <c r="C296" s="5"/>
      <c r="D296" s="5"/>
      <c r="E296" s="5"/>
    </row>
    <row r="297" spans="2:5" s="3" customFormat="1" x14ac:dyDescent="0.3">
      <c r="B297" s="5"/>
      <c r="C297" s="5"/>
      <c r="D297" s="5"/>
      <c r="E297" s="5"/>
    </row>
    <row r="298" spans="2:5" s="3" customFormat="1" x14ac:dyDescent="0.3">
      <c r="B298" s="5"/>
      <c r="C298" s="5"/>
      <c r="D298" s="5"/>
      <c r="E298" s="5"/>
    </row>
    <row r="299" spans="2:5" s="3" customFormat="1" x14ac:dyDescent="0.3">
      <c r="B299" s="5"/>
      <c r="C299" s="5"/>
      <c r="D299" s="5"/>
      <c r="E299" s="5"/>
    </row>
    <row r="300" spans="2:5" s="3" customFormat="1" x14ac:dyDescent="0.3">
      <c r="B300" s="5"/>
      <c r="C300" s="5"/>
      <c r="D300" s="5"/>
      <c r="E300" s="5"/>
    </row>
    <row r="301" spans="2:5" s="3" customFormat="1" x14ac:dyDescent="0.3">
      <c r="B301" s="5"/>
      <c r="C301" s="5"/>
      <c r="D301" s="5"/>
      <c r="E301" s="5"/>
    </row>
    <row r="302" spans="2:5" s="3" customFormat="1" x14ac:dyDescent="0.3">
      <c r="B302" s="5"/>
      <c r="C302" s="5"/>
      <c r="D302" s="5"/>
      <c r="E302" s="5"/>
    </row>
    <row r="303" spans="2:5" s="3" customFormat="1" x14ac:dyDescent="0.3">
      <c r="B303" s="5"/>
      <c r="C303" s="5"/>
      <c r="D303" s="5"/>
      <c r="E303" s="5"/>
    </row>
    <row r="304" spans="2:5" s="3" customFormat="1" x14ac:dyDescent="0.3">
      <c r="B304" s="5"/>
      <c r="C304" s="5"/>
      <c r="D304" s="5"/>
      <c r="E304" s="5"/>
    </row>
    <row r="305" spans="2:5" s="3" customFormat="1" x14ac:dyDescent="0.3">
      <c r="B305" s="5"/>
      <c r="C305" s="5"/>
      <c r="D305" s="5"/>
      <c r="E305" s="5"/>
    </row>
    <row r="306" spans="2:5" s="3" customFormat="1" x14ac:dyDescent="0.3">
      <c r="B306" s="5"/>
      <c r="C306" s="5"/>
      <c r="D306" s="5"/>
      <c r="E306" s="5"/>
    </row>
    <row r="307" spans="2:5" s="3" customFormat="1" x14ac:dyDescent="0.3">
      <c r="B307" s="5"/>
      <c r="C307" s="5"/>
      <c r="D307" s="5"/>
      <c r="E307" s="5"/>
    </row>
    <row r="308" spans="2:5" s="3" customFormat="1" x14ac:dyDescent="0.3">
      <c r="B308" s="5"/>
      <c r="C308" s="5"/>
      <c r="D308" s="5"/>
      <c r="E308" s="5"/>
    </row>
    <row r="309" spans="2:5" s="3" customFormat="1" x14ac:dyDescent="0.3">
      <c r="B309" s="5"/>
      <c r="C309" s="5"/>
      <c r="D309" s="5"/>
      <c r="E309" s="5"/>
    </row>
    <row r="310" spans="2:5" s="3" customFormat="1" x14ac:dyDescent="0.3">
      <c r="B310" s="5"/>
      <c r="C310" s="5"/>
      <c r="D310" s="5"/>
      <c r="E310" s="5"/>
    </row>
    <row r="311" spans="2:5" s="3" customFormat="1" x14ac:dyDescent="0.3">
      <c r="B311" s="5"/>
      <c r="C311" s="5"/>
      <c r="D311" s="5"/>
      <c r="E311" s="5"/>
    </row>
    <row r="312" spans="2:5" s="3" customFormat="1" x14ac:dyDescent="0.3">
      <c r="B312" s="5"/>
      <c r="C312" s="5"/>
      <c r="D312" s="5"/>
      <c r="E312" s="5"/>
    </row>
    <row r="313" spans="2:5" s="3" customFormat="1" x14ac:dyDescent="0.3">
      <c r="B313" s="5"/>
      <c r="C313" s="5"/>
      <c r="D313" s="5"/>
      <c r="E313" s="5"/>
    </row>
    <row r="314" spans="2:5" s="3" customFormat="1" x14ac:dyDescent="0.3">
      <c r="B314" s="5"/>
      <c r="C314" s="5"/>
      <c r="D314" s="5"/>
      <c r="E314" s="5"/>
    </row>
    <row r="315" spans="2:5" s="3" customFormat="1" x14ac:dyDescent="0.3">
      <c r="B315" s="5"/>
      <c r="C315" s="5"/>
      <c r="D315" s="5"/>
      <c r="E315" s="5"/>
    </row>
    <row r="316" spans="2:5" s="3" customFormat="1" x14ac:dyDescent="0.3">
      <c r="B316" s="5"/>
      <c r="C316" s="5"/>
      <c r="D316" s="5"/>
      <c r="E316" s="5"/>
    </row>
    <row r="317" spans="2:5" s="3" customFormat="1" x14ac:dyDescent="0.3">
      <c r="B317" s="5"/>
      <c r="C317" s="5"/>
      <c r="D317" s="5"/>
      <c r="E317" s="5"/>
    </row>
    <row r="318" spans="2:5" s="3" customFormat="1" x14ac:dyDescent="0.3">
      <c r="B318" s="5"/>
      <c r="C318" s="5"/>
      <c r="D318" s="5"/>
      <c r="E318" s="5"/>
    </row>
    <row r="319" spans="2:5" s="3" customFormat="1" x14ac:dyDescent="0.3">
      <c r="B319" s="5"/>
      <c r="C319" s="5"/>
      <c r="D319" s="5"/>
      <c r="E319" s="5"/>
    </row>
    <row r="320" spans="2:5" s="3" customFormat="1" x14ac:dyDescent="0.3">
      <c r="B320" s="5"/>
      <c r="C320" s="5"/>
      <c r="D320" s="5"/>
      <c r="E320" s="5"/>
    </row>
    <row r="321" spans="2:5" s="3" customFormat="1" x14ac:dyDescent="0.3">
      <c r="B321" s="5"/>
      <c r="C321" s="5"/>
      <c r="D321" s="5"/>
      <c r="E321" s="5"/>
    </row>
    <row r="322" spans="2:5" s="3" customFormat="1" x14ac:dyDescent="0.3">
      <c r="B322" s="5"/>
      <c r="C322" s="5"/>
      <c r="D322" s="5"/>
      <c r="E322" s="5"/>
    </row>
    <row r="323" spans="2:5" s="3" customFormat="1" x14ac:dyDescent="0.3">
      <c r="B323" s="5"/>
      <c r="C323" s="5"/>
      <c r="D323" s="5"/>
      <c r="E323" s="5"/>
    </row>
    <row r="324" spans="2:5" s="3" customFormat="1" x14ac:dyDescent="0.3">
      <c r="B324" s="5"/>
      <c r="C324" s="5"/>
      <c r="D324" s="5"/>
      <c r="E324" s="5"/>
    </row>
    <row r="325" spans="2:5" s="3" customFormat="1" x14ac:dyDescent="0.3">
      <c r="B325" s="5"/>
      <c r="C325" s="5"/>
      <c r="D325" s="5"/>
      <c r="E325" s="5"/>
    </row>
    <row r="326" spans="2:5" s="3" customFormat="1" x14ac:dyDescent="0.3">
      <c r="B326" s="5"/>
      <c r="C326" s="5"/>
      <c r="D326" s="5"/>
      <c r="E326" s="5"/>
    </row>
    <row r="327" spans="2:5" s="3" customFormat="1" x14ac:dyDescent="0.3">
      <c r="B327" s="5"/>
      <c r="C327" s="5"/>
      <c r="D327" s="5"/>
      <c r="E327" s="5"/>
    </row>
    <row r="328" spans="2:5" s="3" customFormat="1" x14ac:dyDescent="0.3">
      <c r="B328" s="5"/>
      <c r="C328" s="5"/>
      <c r="D328" s="5"/>
      <c r="E328" s="5"/>
    </row>
    <row r="329" spans="2:5" s="3" customFormat="1" x14ac:dyDescent="0.3">
      <c r="B329" s="5"/>
      <c r="C329" s="5"/>
      <c r="D329" s="5"/>
      <c r="E329" s="5"/>
    </row>
    <row r="330" spans="2:5" s="3" customFormat="1" x14ac:dyDescent="0.3">
      <c r="B330" s="5"/>
      <c r="C330" s="5"/>
      <c r="D330" s="5"/>
      <c r="E330" s="5"/>
    </row>
    <row r="331" spans="2:5" s="3" customFormat="1" x14ac:dyDescent="0.3">
      <c r="B331" s="5"/>
      <c r="C331" s="5"/>
      <c r="D331" s="5"/>
      <c r="E331" s="5"/>
    </row>
    <row r="332" spans="2:5" s="3" customFormat="1" x14ac:dyDescent="0.3">
      <c r="B332" s="5"/>
      <c r="C332" s="5"/>
      <c r="D332" s="5"/>
      <c r="E332" s="5"/>
    </row>
    <row r="333" spans="2:5" s="3" customFormat="1" x14ac:dyDescent="0.3">
      <c r="B333" s="5"/>
      <c r="C333" s="5"/>
      <c r="D333" s="5"/>
      <c r="E333" s="5"/>
    </row>
    <row r="334" spans="2:5" s="3" customFormat="1" x14ac:dyDescent="0.3">
      <c r="B334" s="5"/>
      <c r="C334" s="5"/>
      <c r="D334" s="5"/>
      <c r="E334" s="5"/>
    </row>
    <row r="335" spans="2:5" s="3" customFormat="1" x14ac:dyDescent="0.3">
      <c r="B335" s="5"/>
      <c r="C335" s="5"/>
      <c r="D335" s="5"/>
      <c r="E335" s="5"/>
    </row>
    <row r="336" spans="2:5" s="3" customFormat="1" x14ac:dyDescent="0.3">
      <c r="B336" s="5"/>
      <c r="C336" s="5"/>
      <c r="D336" s="5"/>
      <c r="E336" s="5"/>
    </row>
    <row r="337" spans="2:5" s="3" customFormat="1" x14ac:dyDescent="0.3">
      <c r="B337" s="5"/>
      <c r="C337" s="5"/>
      <c r="D337" s="5"/>
      <c r="E337" s="5"/>
    </row>
    <row r="338" spans="2:5" s="3" customFormat="1" x14ac:dyDescent="0.3">
      <c r="B338" s="5"/>
      <c r="C338" s="5"/>
      <c r="D338" s="5"/>
      <c r="E338" s="5"/>
    </row>
    <row r="339" spans="2:5" s="3" customFormat="1" x14ac:dyDescent="0.3">
      <c r="B339" s="5"/>
      <c r="C339" s="5"/>
      <c r="D339" s="5"/>
      <c r="E339" s="5"/>
    </row>
    <row r="340" spans="2:5" s="3" customFormat="1" x14ac:dyDescent="0.3">
      <c r="B340" s="5"/>
      <c r="C340" s="5"/>
      <c r="D340" s="5"/>
      <c r="E340" s="5"/>
    </row>
    <row r="341" spans="2:5" s="3" customFormat="1" x14ac:dyDescent="0.3">
      <c r="B341" s="5"/>
      <c r="C341" s="5"/>
      <c r="D341" s="5"/>
      <c r="E341" s="5"/>
    </row>
    <row r="342" spans="2:5" s="3" customFormat="1" x14ac:dyDescent="0.3">
      <c r="B342" s="5"/>
      <c r="C342" s="5"/>
      <c r="D342" s="5"/>
      <c r="E342" s="5"/>
    </row>
    <row r="343" spans="2:5" s="3" customFormat="1" x14ac:dyDescent="0.3">
      <c r="B343" s="5"/>
      <c r="C343" s="5"/>
      <c r="D343" s="5"/>
      <c r="E343" s="5"/>
    </row>
    <row r="344" spans="2:5" s="3" customFormat="1" x14ac:dyDescent="0.3">
      <c r="B344" s="5"/>
      <c r="C344" s="5"/>
      <c r="D344" s="5"/>
      <c r="E344" s="5"/>
    </row>
    <row r="345" spans="2:5" s="3" customFormat="1" x14ac:dyDescent="0.3">
      <c r="B345" s="5"/>
      <c r="C345" s="5"/>
      <c r="D345" s="5"/>
      <c r="E345" s="5"/>
    </row>
    <row r="346" spans="2:5" s="3" customFormat="1" x14ac:dyDescent="0.3">
      <c r="B346" s="5"/>
      <c r="C346" s="5"/>
      <c r="D346" s="5"/>
      <c r="E346" s="5"/>
    </row>
    <row r="347" spans="2:5" s="3" customFormat="1" x14ac:dyDescent="0.3">
      <c r="B347" s="5"/>
      <c r="C347" s="5"/>
      <c r="D347" s="5"/>
      <c r="E347" s="5"/>
    </row>
    <row r="348" spans="2:5" s="3" customFormat="1" x14ac:dyDescent="0.3">
      <c r="B348" s="5"/>
      <c r="C348" s="5"/>
      <c r="D348" s="5"/>
      <c r="E348" s="5"/>
    </row>
    <row r="349" spans="2:5" s="3" customFormat="1" x14ac:dyDescent="0.3">
      <c r="B349" s="5"/>
      <c r="C349" s="5"/>
      <c r="D349" s="5"/>
      <c r="E349" s="5"/>
    </row>
    <row r="350" spans="2:5" s="3" customFormat="1" x14ac:dyDescent="0.3">
      <c r="B350" s="5"/>
      <c r="C350" s="5"/>
      <c r="D350" s="5"/>
      <c r="E350" s="5"/>
    </row>
    <row r="351" spans="2:5" s="3" customFormat="1" x14ac:dyDescent="0.3">
      <c r="B351" s="5"/>
      <c r="C351" s="5"/>
      <c r="D351" s="5"/>
      <c r="E351" s="5"/>
    </row>
    <row r="352" spans="2:5" s="3" customFormat="1" x14ac:dyDescent="0.3">
      <c r="B352" s="5"/>
      <c r="C352" s="5"/>
      <c r="D352" s="5"/>
      <c r="E352" s="5"/>
    </row>
    <row r="353" spans="2:5" s="3" customFormat="1" x14ac:dyDescent="0.3">
      <c r="B353" s="5"/>
      <c r="C353" s="5"/>
      <c r="D353" s="5"/>
      <c r="E353" s="5"/>
    </row>
    <row r="354" spans="2:5" s="3" customFormat="1" x14ac:dyDescent="0.3">
      <c r="B354" s="5"/>
      <c r="C354" s="5"/>
      <c r="D354" s="5"/>
      <c r="E354" s="5"/>
    </row>
    <row r="355" spans="2:5" s="3" customFormat="1" x14ac:dyDescent="0.3">
      <c r="B355" s="5"/>
      <c r="C355" s="5"/>
      <c r="D355" s="5"/>
      <c r="E355" s="5"/>
    </row>
    <row r="356" spans="2:5" s="3" customFormat="1" x14ac:dyDescent="0.3">
      <c r="B356" s="5"/>
      <c r="C356" s="5"/>
      <c r="D356" s="5"/>
      <c r="E356" s="5"/>
    </row>
    <row r="357" spans="2:5" s="3" customFormat="1" x14ac:dyDescent="0.3">
      <c r="B357" s="5"/>
      <c r="C357" s="5"/>
      <c r="D357" s="5"/>
      <c r="E357" s="5"/>
    </row>
    <row r="358" spans="2:5" s="3" customFormat="1" x14ac:dyDescent="0.3">
      <c r="B358" s="5"/>
      <c r="C358" s="5"/>
      <c r="D358" s="5"/>
      <c r="E358" s="5"/>
    </row>
    <row r="359" spans="2:5" s="3" customFormat="1" x14ac:dyDescent="0.3">
      <c r="B359" s="5"/>
      <c r="C359" s="5"/>
      <c r="D359" s="5"/>
      <c r="E359" s="5"/>
    </row>
    <row r="360" spans="2:5" s="3" customFormat="1" x14ac:dyDescent="0.3">
      <c r="B360" s="5"/>
      <c r="C360" s="5"/>
      <c r="D360" s="5"/>
      <c r="E360" s="5"/>
    </row>
    <row r="361" spans="2:5" s="3" customFormat="1" x14ac:dyDescent="0.3">
      <c r="B361" s="5"/>
      <c r="C361" s="5"/>
      <c r="D361" s="5"/>
      <c r="E361" s="5"/>
    </row>
    <row r="362" spans="2:5" s="3" customFormat="1" x14ac:dyDescent="0.3">
      <c r="B362" s="5"/>
      <c r="C362" s="5"/>
      <c r="D362" s="5"/>
      <c r="E362" s="5"/>
    </row>
    <row r="363" spans="2:5" s="3" customFormat="1" x14ac:dyDescent="0.3">
      <c r="B363" s="5"/>
      <c r="C363" s="5"/>
      <c r="D363" s="5"/>
      <c r="E363" s="5"/>
    </row>
    <row r="364" spans="2:5" s="3" customFormat="1" x14ac:dyDescent="0.3">
      <c r="B364" s="5"/>
      <c r="C364" s="5"/>
      <c r="D364" s="5"/>
      <c r="E364" s="5"/>
    </row>
    <row r="365" spans="2:5" s="3" customFormat="1" x14ac:dyDescent="0.3">
      <c r="B365" s="5"/>
      <c r="C365" s="5"/>
      <c r="D365" s="5"/>
      <c r="E365" s="5"/>
    </row>
    <row r="366" spans="2:5" s="3" customFormat="1" x14ac:dyDescent="0.3">
      <c r="B366" s="5"/>
      <c r="C366" s="5"/>
      <c r="D366" s="5"/>
      <c r="E366" s="5"/>
    </row>
    <row r="367" spans="2:5" s="3" customFormat="1" x14ac:dyDescent="0.3">
      <c r="B367" s="5"/>
      <c r="C367" s="5"/>
      <c r="D367" s="5"/>
      <c r="E367" s="5"/>
    </row>
    <row r="368" spans="2:5" s="3" customFormat="1" x14ac:dyDescent="0.3">
      <c r="B368" s="5"/>
      <c r="C368" s="5"/>
      <c r="D368" s="5"/>
      <c r="E368" s="5"/>
    </row>
    <row r="369" spans="2:5" s="3" customFormat="1" x14ac:dyDescent="0.3">
      <c r="B369" s="5"/>
      <c r="C369" s="5"/>
      <c r="D369" s="5"/>
      <c r="E369" s="5"/>
    </row>
    <row r="370" spans="2:5" s="3" customFormat="1" x14ac:dyDescent="0.3">
      <c r="B370" s="5"/>
      <c r="C370" s="5"/>
      <c r="D370" s="5"/>
      <c r="E370" s="5"/>
    </row>
    <row r="371" spans="2:5" s="3" customFormat="1" x14ac:dyDescent="0.3">
      <c r="B371" s="5"/>
      <c r="C371" s="5"/>
      <c r="D371" s="5"/>
      <c r="E371" s="5"/>
    </row>
    <row r="372" spans="2:5" s="3" customFormat="1" x14ac:dyDescent="0.3">
      <c r="B372" s="5"/>
      <c r="C372" s="5"/>
      <c r="D372" s="5"/>
      <c r="E372" s="5"/>
    </row>
    <row r="373" spans="2:5" s="3" customFormat="1" x14ac:dyDescent="0.3">
      <c r="B373" s="5"/>
      <c r="C373" s="5"/>
      <c r="D373" s="5"/>
      <c r="E373" s="5"/>
    </row>
    <row r="374" spans="2:5" s="3" customFormat="1" x14ac:dyDescent="0.3">
      <c r="B374" s="5"/>
      <c r="C374" s="5"/>
      <c r="D374" s="5"/>
      <c r="E374" s="5"/>
    </row>
    <row r="375" spans="2:5" s="3" customFormat="1" x14ac:dyDescent="0.3">
      <c r="B375" s="5"/>
      <c r="C375" s="5"/>
      <c r="D375" s="5"/>
      <c r="E375" s="5"/>
    </row>
    <row r="376" spans="2:5" s="3" customFormat="1" x14ac:dyDescent="0.3">
      <c r="B376" s="5"/>
      <c r="C376" s="5"/>
      <c r="D376" s="5"/>
      <c r="E376" s="5"/>
    </row>
    <row r="377" spans="2:5" s="3" customFormat="1" x14ac:dyDescent="0.3">
      <c r="B377" s="5"/>
      <c r="C377" s="5"/>
      <c r="D377" s="5"/>
      <c r="E377" s="5"/>
    </row>
    <row r="378" spans="2:5" s="3" customFormat="1" x14ac:dyDescent="0.3">
      <c r="B378" s="5"/>
      <c r="C378" s="5"/>
      <c r="D378" s="5"/>
      <c r="E378" s="5"/>
    </row>
    <row r="379" spans="2:5" s="3" customFormat="1" x14ac:dyDescent="0.3">
      <c r="B379" s="5"/>
      <c r="C379" s="5"/>
      <c r="D379" s="5"/>
      <c r="E379" s="5"/>
    </row>
    <row r="380" spans="2:5" s="3" customFormat="1" x14ac:dyDescent="0.3">
      <c r="B380" s="5"/>
      <c r="C380" s="5"/>
      <c r="D380" s="5"/>
      <c r="E380" s="5"/>
    </row>
    <row r="381" spans="2:5" s="3" customFormat="1" x14ac:dyDescent="0.3">
      <c r="B381" s="5"/>
      <c r="C381" s="5"/>
      <c r="D381" s="5"/>
      <c r="E381" s="5"/>
    </row>
    <row r="382" spans="2:5" s="3" customFormat="1" x14ac:dyDescent="0.3">
      <c r="B382" s="5"/>
      <c r="C382" s="5"/>
      <c r="D382" s="5"/>
      <c r="E382" s="5"/>
    </row>
    <row r="383" spans="2:5" s="3" customFormat="1" x14ac:dyDescent="0.3">
      <c r="B383" s="5"/>
      <c r="C383" s="5"/>
      <c r="D383" s="5"/>
      <c r="E383" s="5"/>
    </row>
    <row r="384" spans="2:5" s="3" customFormat="1" x14ac:dyDescent="0.3">
      <c r="B384" s="5"/>
      <c r="C384" s="5"/>
      <c r="D384" s="5"/>
      <c r="E384" s="5"/>
    </row>
    <row r="385" spans="2:5" s="3" customFormat="1" x14ac:dyDescent="0.3">
      <c r="B385" s="5"/>
      <c r="C385" s="5"/>
      <c r="D385" s="5"/>
      <c r="E385" s="5"/>
    </row>
    <row r="386" spans="2:5" s="3" customFormat="1" x14ac:dyDescent="0.3">
      <c r="B386" s="5"/>
      <c r="C386" s="5"/>
      <c r="D386" s="5"/>
      <c r="E386" s="5"/>
    </row>
    <row r="387" spans="2:5" s="3" customFormat="1" x14ac:dyDescent="0.3">
      <c r="B387" s="5"/>
      <c r="C387" s="5"/>
      <c r="D387" s="5"/>
      <c r="E387" s="5"/>
    </row>
    <row r="388" spans="2:5" s="3" customFormat="1" x14ac:dyDescent="0.3">
      <c r="B388" s="5"/>
      <c r="C388" s="5"/>
      <c r="D388" s="5"/>
      <c r="E388" s="5"/>
    </row>
    <row r="389" spans="2:5" s="3" customFormat="1" x14ac:dyDescent="0.3">
      <c r="B389" s="5"/>
      <c r="C389" s="5"/>
      <c r="D389" s="5"/>
      <c r="E389" s="5"/>
    </row>
    <row r="390" spans="2:5" s="3" customFormat="1" x14ac:dyDescent="0.3">
      <c r="B390" s="5"/>
      <c r="C390" s="5"/>
      <c r="D390" s="5"/>
      <c r="E390" s="5"/>
    </row>
    <row r="391" spans="2:5" s="3" customFormat="1" x14ac:dyDescent="0.3">
      <c r="B391" s="5"/>
      <c r="C391" s="5"/>
      <c r="D391" s="5"/>
      <c r="E391" s="5"/>
    </row>
    <row r="392" spans="2:5" s="3" customFormat="1" x14ac:dyDescent="0.3">
      <c r="B392" s="5"/>
      <c r="C392" s="5"/>
      <c r="D392" s="5"/>
      <c r="E392" s="5"/>
    </row>
    <row r="393" spans="2:5" s="3" customFormat="1" x14ac:dyDescent="0.3">
      <c r="B393" s="5"/>
      <c r="C393" s="5"/>
      <c r="D393" s="5"/>
      <c r="E393" s="5"/>
    </row>
    <row r="394" spans="2:5" s="3" customFormat="1" x14ac:dyDescent="0.3">
      <c r="B394" s="5"/>
      <c r="C394" s="5"/>
      <c r="D394" s="5"/>
      <c r="E394" s="5"/>
    </row>
    <row r="395" spans="2:5" s="3" customFormat="1" x14ac:dyDescent="0.3">
      <c r="B395" s="5"/>
      <c r="C395" s="5"/>
      <c r="D395" s="5"/>
      <c r="E395" s="5"/>
    </row>
    <row r="396" spans="2:5" s="3" customFormat="1" x14ac:dyDescent="0.3">
      <c r="B396" s="5"/>
      <c r="C396" s="5"/>
      <c r="D396" s="5"/>
      <c r="E396" s="5"/>
    </row>
    <row r="397" spans="2:5" s="3" customFormat="1" x14ac:dyDescent="0.3">
      <c r="B397" s="5"/>
      <c r="C397" s="5"/>
      <c r="D397" s="5"/>
      <c r="E397" s="5"/>
    </row>
    <row r="398" spans="2:5" s="3" customFormat="1" x14ac:dyDescent="0.3">
      <c r="B398" s="5"/>
      <c r="C398" s="5"/>
      <c r="D398" s="5"/>
      <c r="E398" s="5"/>
    </row>
    <row r="399" spans="2:5" s="3" customFormat="1" x14ac:dyDescent="0.3">
      <c r="B399" s="5"/>
      <c r="C399" s="5"/>
      <c r="D399" s="5"/>
      <c r="E399" s="5"/>
    </row>
    <row r="400" spans="2:5" s="3" customFormat="1" x14ac:dyDescent="0.3">
      <c r="B400" s="5"/>
      <c r="C400" s="5"/>
      <c r="D400" s="5"/>
      <c r="E400" s="5"/>
    </row>
    <row r="401" spans="2:5" s="3" customFormat="1" x14ac:dyDescent="0.3">
      <c r="B401" s="5"/>
      <c r="C401" s="5"/>
      <c r="D401" s="5"/>
      <c r="E401" s="5"/>
    </row>
    <row r="402" spans="2:5" s="3" customFormat="1" x14ac:dyDescent="0.3">
      <c r="B402" s="5"/>
      <c r="C402" s="5"/>
      <c r="D402" s="5"/>
      <c r="E402" s="5"/>
    </row>
    <row r="403" spans="2:5" s="3" customFormat="1" x14ac:dyDescent="0.3">
      <c r="B403" s="5"/>
      <c r="C403" s="5"/>
      <c r="D403" s="5"/>
      <c r="E403" s="5"/>
    </row>
    <row r="404" spans="2:5" s="3" customFormat="1" x14ac:dyDescent="0.3">
      <c r="B404" s="5"/>
      <c r="C404" s="5"/>
      <c r="D404" s="5"/>
      <c r="E404" s="5"/>
    </row>
    <row r="405" spans="2:5" s="3" customFormat="1" x14ac:dyDescent="0.3">
      <c r="B405" s="5"/>
      <c r="C405" s="5"/>
      <c r="D405" s="5"/>
      <c r="E405" s="5"/>
    </row>
    <row r="406" spans="2:5" s="3" customFormat="1" x14ac:dyDescent="0.3">
      <c r="B406" s="5"/>
      <c r="C406" s="5"/>
      <c r="D406" s="5"/>
      <c r="E406" s="5"/>
    </row>
    <row r="407" spans="2:5" s="3" customFormat="1" x14ac:dyDescent="0.3">
      <c r="B407" s="5"/>
      <c r="C407" s="5"/>
      <c r="D407" s="5"/>
      <c r="E407" s="5"/>
    </row>
    <row r="408" spans="2:5" s="3" customFormat="1" x14ac:dyDescent="0.3">
      <c r="B408" s="5"/>
      <c r="C408" s="5"/>
      <c r="D408" s="5"/>
      <c r="E408" s="5"/>
    </row>
    <row r="409" spans="2:5" s="3" customFormat="1" x14ac:dyDescent="0.3">
      <c r="B409" s="5"/>
      <c r="C409" s="5"/>
      <c r="D409" s="5"/>
      <c r="E409" s="5"/>
    </row>
    <row r="410" spans="2:5" s="3" customFormat="1" x14ac:dyDescent="0.3">
      <c r="B410" s="5"/>
      <c r="C410" s="5"/>
      <c r="D410" s="5"/>
      <c r="E410" s="5"/>
    </row>
    <row r="411" spans="2:5" s="3" customFormat="1" x14ac:dyDescent="0.3">
      <c r="B411" s="5"/>
      <c r="C411" s="5"/>
      <c r="D411" s="5"/>
      <c r="E411" s="5"/>
    </row>
    <row r="412" spans="2:5" s="3" customFormat="1" x14ac:dyDescent="0.3">
      <c r="B412" s="5"/>
      <c r="C412" s="5"/>
      <c r="D412" s="5"/>
      <c r="E412" s="5"/>
    </row>
    <row r="413" spans="2:5" s="3" customFormat="1" x14ac:dyDescent="0.3">
      <c r="B413" s="5"/>
      <c r="C413" s="5"/>
      <c r="D413" s="5"/>
      <c r="E413" s="5"/>
    </row>
    <row r="414" spans="2:5" s="3" customFormat="1" x14ac:dyDescent="0.3">
      <c r="B414" s="5"/>
      <c r="C414" s="5"/>
      <c r="D414" s="5"/>
      <c r="E414" s="5"/>
    </row>
    <row r="415" spans="2:5" s="3" customFormat="1" x14ac:dyDescent="0.3">
      <c r="B415" s="5"/>
      <c r="C415" s="5"/>
      <c r="D415" s="5"/>
      <c r="E415" s="5"/>
    </row>
    <row r="416" spans="2:5" s="3" customFormat="1" x14ac:dyDescent="0.3">
      <c r="B416" s="5"/>
      <c r="C416" s="5"/>
      <c r="D416" s="5"/>
      <c r="E416" s="5"/>
    </row>
    <row r="417" spans="2:5" s="3" customFormat="1" x14ac:dyDescent="0.3">
      <c r="B417" s="5"/>
      <c r="C417" s="5"/>
      <c r="D417" s="5"/>
      <c r="E417" s="5"/>
    </row>
    <row r="418" spans="2:5" s="3" customFormat="1" x14ac:dyDescent="0.3">
      <c r="B418" s="5"/>
      <c r="C418" s="5"/>
      <c r="D418" s="5"/>
      <c r="E418" s="5"/>
    </row>
    <row r="419" spans="2:5" s="3" customFormat="1" x14ac:dyDescent="0.3">
      <c r="B419" s="5"/>
      <c r="C419" s="5"/>
      <c r="D419" s="5"/>
      <c r="E419" s="5"/>
    </row>
    <row r="420" spans="2:5" s="3" customFormat="1" x14ac:dyDescent="0.3">
      <c r="B420" s="5"/>
      <c r="C420" s="5"/>
      <c r="D420" s="5"/>
      <c r="E420" s="5"/>
    </row>
    <row r="421" spans="2:5" s="3" customFormat="1" x14ac:dyDescent="0.3">
      <c r="B421" s="5"/>
      <c r="C421" s="5"/>
      <c r="D421" s="5"/>
      <c r="E421" s="5"/>
    </row>
    <row r="422" spans="2:5" s="3" customFormat="1" x14ac:dyDescent="0.3">
      <c r="B422" s="5"/>
      <c r="C422" s="5"/>
      <c r="D422" s="5"/>
      <c r="E422" s="5"/>
    </row>
    <row r="423" spans="2:5" s="3" customFormat="1" x14ac:dyDescent="0.3">
      <c r="B423" s="5"/>
      <c r="C423" s="5"/>
      <c r="D423" s="5"/>
      <c r="E423" s="5"/>
    </row>
    <row r="424" spans="2:5" s="3" customFormat="1" x14ac:dyDescent="0.3">
      <c r="B424" s="5"/>
      <c r="C424" s="5"/>
      <c r="D424" s="5"/>
      <c r="E424" s="5"/>
    </row>
    <row r="425" spans="2:5" s="3" customFormat="1" x14ac:dyDescent="0.3">
      <c r="B425" s="5"/>
      <c r="C425" s="5"/>
      <c r="D425" s="5"/>
      <c r="E425" s="5"/>
    </row>
    <row r="426" spans="2:5" s="3" customFormat="1" x14ac:dyDescent="0.3">
      <c r="B426" s="5"/>
      <c r="C426" s="5"/>
      <c r="D426" s="5"/>
      <c r="E426" s="5"/>
    </row>
    <row r="427" spans="2:5" s="3" customFormat="1" x14ac:dyDescent="0.3">
      <c r="B427" s="5"/>
      <c r="C427" s="5"/>
      <c r="D427" s="5"/>
      <c r="E427" s="5"/>
    </row>
    <row r="428" spans="2:5" s="3" customFormat="1" x14ac:dyDescent="0.3">
      <c r="B428" s="5"/>
      <c r="C428" s="5"/>
      <c r="D428" s="5"/>
      <c r="E428" s="5"/>
    </row>
    <row r="429" spans="2:5" s="3" customFormat="1" x14ac:dyDescent="0.3">
      <c r="B429" s="5"/>
      <c r="C429" s="5"/>
      <c r="D429" s="5"/>
      <c r="E429" s="5"/>
    </row>
    <row r="430" spans="2:5" s="3" customFormat="1" x14ac:dyDescent="0.3">
      <c r="B430" s="5"/>
      <c r="C430" s="5"/>
      <c r="D430" s="5"/>
      <c r="E430" s="5"/>
    </row>
    <row r="431" spans="2:5" s="3" customFormat="1" x14ac:dyDescent="0.3">
      <c r="B431" s="5"/>
      <c r="C431" s="5"/>
      <c r="D431" s="5"/>
      <c r="E431" s="5"/>
    </row>
    <row r="432" spans="2:5" s="3" customFormat="1" x14ac:dyDescent="0.3">
      <c r="B432" s="5"/>
      <c r="C432" s="5"/>
      <c r="D432" s="5"/>
      <c r="E432" s="5"/>
    </row>
    <row r="433" spans="2:5" s="3" customFormat="1" x14ac:dyDescent="0.3">
      <c r="B433" s="5"/>
      <c r="C433" s="5"/>
      <c r="D433" s="5"/>
      <c r="E433" s="5"/>
    </row>
    <row r="434" spans="2:5" s="3" customFormat="1" x14ac:dyDescent="0.3">
      <c r="B434" s="5"/>
      <c r="C434" s="5"/>
      <c r="D434" s="5"/>
      <c r="E434" s="5"/>
    </row>
    <row r="435" spans="2:5" s="3" customFormat="1" x14ac:dyDescent="0.3">
      <c r="B435" s="5"/>
      <c r="C435" s="5"/>
      <c r="D435" s="5"/>
      <c r="E435" s="5"/>
    </row>
    <row r="436" spans="2:5" s="3" customFormat="1" x14ac:dyDescent="0.3">
      <c r="B436" s="5"/>
      <c r="C436" s="5"/>
      <c r="D436" s="5"/>
      <c r="E436" s="5"/>
    </row>
    <row r="437" spans="2:5" s="3" customFormat="1" x14ac:dyDescent="0.3">
      <c r="B437" s="5"/>
      <c r="C437" s="5"/>
      <c r="D437" s="5"/>
      <c r="E437" s="5"/>
    </row>
    <row r="438" spans="2:5" s="3" customFormat="1" x14ac:dyDescent="0.3">
      <c r="B438" s="5"/>
      <c r="C438" s="5"/>
      <c r="D438" s="5"/>
      <c r="E438" s="5"/>
    </row>
    <row r="439" spans="2:5" s="3" customFormat="1" x14ac:dyDescent="0.3">
      <c r="B439" s="5"/>
      <c r="C439" s="5"/>
      <c r="D439" s="5"/>
      <c r="E439" s="5"/>
    </row>
    <row r="440" spans="2:5" s="3" customFormat="1" x14ac:dyDescent="0.3">
      <c r="B440" s="5"/>
      <c r="C440" s="5"/>
      <c r="D440" s="5"/>
      <c r="E440" s="5"/>
    </row>
    <row r="441" spans="2:5" s="3" customFormat="1" x14ac:dyDescent="0.3">
      <c r="B441" s="5"/>
      <c r="C441" s="5"/>
      <c r="D441" s="5"/>
      <c r="E441" s="5"/>
    </row>
    <row r="442" spans="2:5" s="3" customFormat="1" x14ac:dyDescent="0.3">
      <c r="B442" s="5"/>
      <c r="C442" s="5"/>
      <c r="D442" s="5"/>
      <c r="E442" s="5"/>
    </row>
    <row r="443" spans="2:5" s="3" customFormat="1" x14ac:dyDescent="0.3">
      <c r="B443" s="5"/>
      <c r="C443" s="5"/>
      <c r="D443" s="5"/>
      <c r="E443" s="5"/>
    </row>
    <row r="444" spans="2:5" s="3" customFormat="1" x14ac:dyDescent="0.3">
      <c r="B444" s="5"/>
      <c r="C444" s="5"/>
      <c r="D444" s="5"/>
      <c r="E444" s="5"/>
    </row>
    <row r="445" spans="2:5" s="3" customFormat="1" x14ac:dyDescent="0.3">
      <c r="B445" s="5"/>
      <c r="C445" s="5"/>
      <c r="D445" s="5"/>
      <c r="E445" s="5"/>
    </row>
    <row r="446" spans="2:5" s="3" customFormat="1" x14ac:dyDescent="0.3">
      <c r="B446" s="5"/>
      <c r="C446" s="5"/>
      <c r="D446" s="5"/>
      <c r="E446" s="5"/>
    </row>
    <row r="447" spans="2:5" s="3" customFormat="1" x14ac:dyDescent="0.3">
      <c r="B447" s="5"/>
      <c r="C447" s="5"/>
      <c r="D447" s="5"/>
      <c r="E447" s="5"/>
    </row>
    <row r="448" spans="2:5" s="3" customFormat="1" x14ac:dyDescent="0.3">
      <c r="B448" s="5"/>
      <c r="C448" s="5"/>
      <c r="D448" s="5"/>
      <c r="E448" s="5"/>
    </row>
    <row r="449" spans="2:5" s="3" customFormat="1" x14ac:dyDescent="0.3">
      <c r="B449" s="5"/>
      <c r="C449" s="5"/>
      <c r="D449" s="5"/>
      <c r="E449" s="5"/>
    </row>
    <row r="450" spans="2:5" s="3" customFormat="1" x14ac:dyDescent="0.3">
      <c r="B450" s="5"/>
      <c r="C450" s="5"/>
      <c r="D450" s="5"/>
      <c r="E450" s="5"/>
    </row>
    <row r="451" spans="2:5" s="3" customFormat="1" x14ac:dyDescent="0.3">
      <c r="B451" s="5"/>
      <c r="C451" s="5"/>
      <c r="D451" s="5"/>
      <c r="E451" s="5"/>
    </row>
    <row r="452" spans="2:5" s="3" customFormat="1" x14ac:dyDescent="0.3">
      <c r="B452" s="5"/>
      <c r="C452" s="5"/>
      <c r="D452" s="5"/>
      <c r="E452" s="5"/>
    </row>
    <row r="453" spans="2:5" s="3" customFormat="1" x14ac:dyDescent="0.3">
      <c r="B453" s="5"/>
      <c r="C453" s="5"/>
      <c r="D453" s="5"/>
      <c r="E453" s="5"/>
    </row>
    <row r="454" spans="2:5" s="3" customFormat="1" x14ac:dyDescent="0.3">
      <c r="B454" s="5"/>
      <c r="C454" s="5"/>
      <c r="D454" s="5"/>
      <c r="E454" s="5"/>
    </row>
    <row r="455" spans="2:5" s="3" customFormat="1" x14ac:dyDescent="0.3">
      <c r="B455" s="5"/>
      <c r="C455" s="5"/>
      <c r="D455" s="5"/>
      <c r="E455" s="5"/>
    </row>
    <row r="456" spans="2:5" s="3" customFormat="1" x14ac:dyDescent="0.3">
      <c r="B456" s="5"/>
      <c r="C456" s="5"/>
      <c r="D456" s="5"/>
      <c r="E456" s="5"/>
    </row>
    <row r="457" spans="2:5" s="3" customFormat="1" x14ac:dyDescent="0.3">
      <c r="B457" s="5"/>
      <c r="C457" s="5"/>
      <c r="D457" s="5"/>
      <c r="E457" s="5"/>
    </row>
    <row r="458" spans="2:5" s="3" customFormat="1" x14ac:dyDescent="0.3">
      <c r="B458" s="5"/>
      <c r="C458" s="5"/>
      <c r="D458" s="5"/>
      <c r="E458" s="5"/>
    </row>
    <row r="459" spans="2:5" s="3" customFormat="1" x14ac:dyDescent="0.3">
      <c r="B459" s="5"/>
      <c r="C459" s="5"/>
      <c r="D459" s="5"/>
      <c r="E459" s="5"/>
    </row>
    <row r="460" spans="2:5" s="3" customFormat="1" x14ac:dyDescent="0.3">
      <c r="B460" s="5"/>
      <c r="C460" s="5"/>
      <c r="D460" s="5"/>
      <c r="E460" s="5"/>
    </row>
    <row r="461" spans="2:5" s="3" customFormat="1" x14ac:dyDescent="0.3">
      <c r="B461" s="5"/>
      <c r="C461" s="5"/>
      <c r="D461" s="5"/>
      <c r="E461" s="5"/>
    </row>
    <row r="462" spans="2:5" s="3" customFormat="1" x14ac:dyDescent="0.3">
      <c r="B462" s="5"/>
      <c r="C462" s="5"/>
      <c r="D462" s="5"/>
      <c r="E462" s="5"/>
    </row>
    <row r="463" spans="2:5" s="3" customFormat="1" x14ac:dyDescent="0.3">
      <c r="B463" s="5"/>
      <c r="C463" s="5"/>
      <c r="D463" s="5"/>
      <c r="E463" s="5"/>
    </row>
    <row r="464" spans="2:5" s="3" customFormat="1" x14ac:dyDescent="0.3">
      <c r="B464" s="5"/>
      <c r="C464" s="5"/>
      <c r="D464" s="5"/>
      <c r="E464" s="5"/>
    </row>
    <row r="465" spans="2:5" s="3" customFormat="1" x14ac:dyDescent="0.3">
      <c r="B465" s="5"/>
      <c r="C465" s="5"/>
      <c r="D465" s="5"/>
      <c r="E465" s="5"/>
    </row>
    <row r="466" spans="2:5" s="3" customFormat="1" x14ac:dyDescent="0.3">
      <c r="B466" s="5"/>
      <c r="C466" s="5"/>
      <c r="D466" s="5"/>
      <c r="E466" s="5"/>
    </row>
    <row r="467" spans="2:5" s="3" customFormat="1" x14ac:dyDescent="0.3">
      <c r="B467" s="5"/>
      <c r="C467" s="5"/>
      <c r="D467" s="5"/>
      <c r="E467" s="5"/>
    </row>
    <row r="468" spans="2:5" s="3" customFormat="1" x14ac:dyDescent="0.3">
      <c r="B468" s="5"/>
      <c r="C468" s="5"/>
      <c r="D468" s="5"/>
      <c r="E468" s="5"/>
    </row>
    <row r="469" spans="2:5" s="3" customFormat="1" x14ac:dyDescent="0.3">
      <c r="B469" s="5"/>
      <c r="C469" s="5"/>
      <c r="D469" s="5"/>
      <c r="E469" s="5"/>
    </row>
    <row r="470" spans="2:5" s="3" customFormat="1" x14ac:dyDescent="0.3">
      <c r="B470" s="5"/>
      <c r="C470" s="5"/>
      <c r="D470" s="5"/>
      <c r="E470" s="5"/>
    </row>
    <row r="471" spans="2:5" s="3" customFormat="1" x14ac:dyDescent="0.3">
      <c r="B471" s="5"/>
      <c r="C471" s="5"/>
      <c r="D471" s="5"/>
      <c r="E471" s="5"/>
    </row>
    <row r="472" spans="2:5" s="3" customFormat="1" x14ac:dyDescent="0.3">
      <c r="B472" s="5"/>
      <c r="C472" s="5"/>
      <c r="D472" s="5"/>
      <c r="E472" s="5"/>
    </row>
    <row r="473" spans="2:5" s="3" customFormat="1" x14ac:dyDescent="0.3">
      <c r="B473" s="5"/>
      <c r="C473" s="5"/>
      <c r="D473" s="5"/>
      <c r="E473" s="5"/>
    </row>
    <row r="474" spans="2:5" s="3" customFormat="1" x14ac:dyDescent="0.3">
      <c r="B474" s="5"/>
      <c r="C474" s="5"/>
      <c r="D474" s="5"/>
      <c r="E474" s="5"/>
    </row>
    <row r="475" spans="2:5" s="3" customFormat="1" x14ac:dyDescent="0.3">
      <c r="B475" s="5"/>
      <c r="C475" s="5"/>
      <c r="D475" s="5"/>
      <c r="E475" s="5"/>
    </row>
    <row r="476" spans="2:5" s="3" customFormat="1" x14ac:dyDescent="0.3">
      <c r="B476" s="5"/>
      <c r="C476" s="5"/>
      <c r="D476" s="5"/>
      <c r="E476" s="5"/>
    </row>
    <row r="477" spans="2:5" s="3" customFormat="1" x14ac:dyDescent="0.3">
      <c r="B477" s="5"/>
      <c r="C477" s="5"/>
      <c r="D477" s="5"/>
      <c r="E477" s="5"/>
    </row>
    <row r="478" spans="2:5" s="3" customFormat="1" x14ac:dyDescent="0.3">
      <c r="B478" s="5"/>
      <c r="C478" s="5"/>
      <c r="D478" s="5"/>
      <c r="E478" s="5"/>
    </row>
    <row r="479" spans="2:5" s="3" customFormat="1" x14ac:dyDescent="0.3">
      <c r="B479" s="5"/>
      <c r="C479" s="5"/>
      <c r="D479" s="5"/>
      <c r="E479" s="5"/>
    </row>
    <row r="480" spans="2:5" s="3" customFormat="1" x14ac:dyDescent="0.3">
      <c r="B480" s="5"/>
      <c r="C480" s="5"/>
      <c r="D480" s="5"/>
      <c r="E480" s="5"/>
    </row>
    <row r="481" spans="2:5" s="3" customFormat="1" x14ac:dyDescent="0.3">
      <c r="B481" s="5"/>
      <c r="C481" s="5"/>
      <c r="D481" s="5"/>
      <c r="E481" s="5"/>
    </row>
    <row r="482" spans="2:5" s="3" customFormat="1" x14ac:dyDescent="0.3">
      <c r="B482" s="5"/>
      <c r="C482" s="5"/>
      <c r="D482" s="5"/>
      <c r="E482" s="5"/>
    </row>
    <row r="483" spans="2:5" s="3" customFormat="1" x14ac:dyDescent="0.3">
      <c r="B483" s="5"/>
      <c r="C483" s="5"/>
      <c r="D483" s="5"/>
      <c r="E483" s="5"/>
    </row>
    <row r="484" spans="2:5" s="3" customFormat="1" x14ac:dyDescent="0.3">
      <c r="B484" s="5"/>
      <c r="C484" s="5"/>
      <c r="D484" s="5"/>
      <c r="E484" s="5"/>
    </row>
    <row r="485" spans="2:5" s="3" customFormat="1" x14ac:dyDescent="0.3">
      <c r="B485" s="5"/>
      <c r="C485" s="5"/>
      <c r="D485" s="5"/>
      <c r="E485" s="5"/>
    </row>
    <row r="486" spans="2:5" s="3" customFormat="1" x14ac:dyDescent="0.3">
      <c r="B486" s="5"/>
      <c r="C486" s="5"/>
      <c r="D486" s="5"/>
      <c r="E486" s="5"/>
    </row>
    <row r="487" spans="2:5" s="3" customFormat="1" x14ac:dyDescent="0.3">
      <c r="B487" s="5"/>
      <c r="C487" s="5"/>
      <c r="D487" s="5"/>
      <c r="E487" s="5"/>
    </row>
    <row r="488" spans="2:5" s="3" customFormat="1" x14ac:dyDescent="0.3">
      <c r="B488" s="5"/>
      <c r="C488" s="5"/>
      <c r="D488" s="5"/>
      <c r="E488" s="5"/>
    </row>
    <row r="489" spans="2:5" s="3" customFormat="1" x14ac:dyDescent="0.3">
      <c r="B489" s="5"/>
      <c r="C489" s="5"/>
      <c r="D489" s="5"/>
      <c r="E489" s="5"/>
    </row>
    <row r="490" spans="2:5" s="3" customFormat="1" x14ac:dyDescent="0.3">
      <c r="B490" s="5"/>
      <c r="C490" s="5"/>
      <c r="D490" s="5"/>
      <c r="E490" s="5"/>
    </row>
    <row r="491" spans="2:5" s="3" customFormat="1" x14ac:dyDescent="0.3">
      <c r="B491" s="5"/>
      <c r="C491" s="5"/>
      <c r="D491" s="5"/>
      <c r="E491" s="5"/>
    </row>
    <row r="492" spans="2:5" s="3" customFormat="1" x14ac:dyDescent="0.3">
      <c r="B492" s="5"/>
      <c r="C492" s="5"/>
      <c r="D492" s="5"/>
      <c r="E492" s="5"/>
    </row>
    <row r="493" spans="2:5" s="3" customFormat="1" x14ac:dyDescent="0.3">
      <c r="B493" s="5"/>
      <c r="C493" s="5"/>
      <c r="D493" s="5"/>
      <c r="E493" s="5"/>
    </row>
    <row r="494" spans="2:5" s="3" customFormat="1" x14ac:dyDescent="0.3">
      <c r="B494" s="5"/>
      <c r="C494" s="5"/>
      <c r="D494" s="5"/>
      <c r="E494" s="5"/>
    </row>
    <row r="495" spans="2:5" s="3" customFormat="1" x14ac:dyDescent="0.3">
      <c r="B495" s="5"/>
      <c r="C495" s="5"/>
      <c r="D495" s="5"/>
      <c r="E495" s="5"/>
    </row>
    <row r="496" spans="2:5" s="3" customFormat="1" x14ac:dyDescent="0.3">
      <c r="B496" s="5"/>
      <c r="C496" s="5"/>
      <c r="D496" s="5"/>
      <c r="E496" s="5"/>
    </row>
    <row r="497" spans="2:5" s="3" customFormat="1" x14ac:dyDescent="0.3">
      <c r="B497" s="5"/>
      <c r="C497" s="5"/>
      <c r="D497" s="5"/>
      <c r="E497" s="5"/>
    </row>
    <row r="498" spans="2:5" s="3" customFormat="1" x14ac:dyDescent="0.3">
      <c r="B498" s="5"/>
      <c r="C498" s="5"/>
      <c r="D498" s="5"/>
      <c r="E498" s="5"/>
    </row>
    <row r="499" spans="2:5" s="3" customFormat="1" x14ac:dyDescent="0.3">
      <c r="B499" s="5"/>
      <c r="C499" s="5"/>
      <c r="D499" s="5"/>
      <c r="E499" s="5"/>
    </row>
    <row r="500" spans="2:5" s="3" customFormat="1" x14ac:dyDescent="0.3">
      <c r="B500" s="5"/>
      <c r="C500" s="5"/>
      <c r="D500" s="5"/>
      <c r="E500" s="5"/>
    </row>
    <row r="501" spans="2:5" s="3" customFormat="1" x14ac:dyDescent="0.3">
      <c r="B501" s="5"/>
      <c r="C501" s="5"/>
      <c r="D501" s="5"/>
      <c r="E501" s="5"/>
    </row>
    <row r="502" spans="2:5" s="3" customFormat="1" x14ac:dyDescent="0.3">
      <c r="B502" s="5"/>
      <c r="C502" s="5"/>
      <c r="D502" s="5"/>
      <c r="E502" s="5"/>
    </row>
    <row r="503" spans="2:5" s="3" customFormat="1" x14ac:dyDescent="0.3">
      <c r="B503" s="5"/>
      <c r="C503" s="5"/>
      <c r="D503" s="5"/>
      <c r="E503" s="5"/>
    </row>
    <row r="504" spans="2:5" s="3" customFormat="1" x14ac:dyDescent="0.3">
      <c r="B504" s="5"/>
      <c r="C504" s="5"/>
      <c r="D504" s="5"/>
      <c r="E504" s="5"/>
    </row>
    <row r="505" spans="2:5" s="3" customFormat="1" x14ac:dyDescent="0.3">
      <c r="B505" s="5"/>
      <c r="C505" s="5"/>
      <c r="D505" s="5"/>
      <c r="E505" s="5"/>
    </row>
    <row r="506" spans="2:5" s="3" customFormat="1" x14ac:dyDescent="0.3">
      <c r="B506" s="5"/>
      <c r="C506" s="5"/>
      <c r="D506" s="5"/>
      <c r="E506" s="5"/>
    </row>
    <row r="507" spans="2:5" s="3" customFormat="1" x14ac:dyDescent="0.3">
      <c r="B507" s="5"/>
      <c r="C507" s="5"/>
      <c r="D507" s="5"/>
      <c r="E507" s="5"/>
    </row>
    <row r="508" spans="2:5" s="3" customFormat="1" x14ac:dyDescent="0.3">
      <c r="B508" s="5"/>
      <c r="C508" s="5"/>
      <c r="D508" s="5"/>
      <c r="E508" s="5"/>
    </row>
    <row r="509" spans="2:5" s="3" customFormat="1" x14ac:dyDescent="0.3">
      <c r="B509" s="5"/>
      <c r="C509" s="5"/>
      <c r="D509" s="5"/>
      <c r="E509" s="5"/>
    </row>
    <row r="510" spans="2:5" s="3" customFormat="1" x14ac:dyDescent="0.3">
      <c r="B510" s="5"/>
      <c r="C510" s="5"/>
      <c r="D510" s="5"/>
      <c r="E510" s="5"/>
    </row>
    <row r="511" spans="2:5" s="3" customFormat="1" x14ac:dyDescent="0.3">
      <c r="B511" s="5"/>
      <c r="C511" s="5"/>
      <c r="D511" s="5"/>
      <c r="E511" s="5"/>
    </row>
    <row r="512" spans="2:5" s="3" customFormat="1" x14ac:dyDescent="0.3">
      <c r="B512" s="5"/>
      <c r="C512" s="5"/>
      <c r="D512" s="5"/>
      <c r="E512" s="5"/>
    </row>
    <row r="513" spans="2:5" s="3" customFormat="1" x14ac:dyDescent="0.3">
      <c r="B513" s="5"/>
      <c r="C513" s="5"/>
      <c r="D513" s="5"/>
      <c r="E513" s="5"/>
    </row>
    <row r="514" spans="2:5" s="3" customFormat="1" x14ac:dyDescent="0.3">
      <c r="B514" s="5"/>
      <c r="C514" s="5"/>
      <c r="D514" s="5"/>
      <c r="E514" s="5"/>
    </row>
    <row r="515" spans="2:5" s="3" customFormat="1" x14ac:dyDescent="0.3">
      <c r="B515" s="5"/>
      <c r="C515" s="5"/>
      <c r="D515" s="5"/>
      <c r="E515" s="5"/>
    </row>
    <row r="516" spans="2:5" s="3" customFormat="1" x14ac:dyDescent="0.3">
      <c r="B516" s="5"/>
      <c r="C516" s="5"/>
      <c r="D516" s="5"/>
      <c r="E516" s="5"/>
    </row>
  </sheetData>
  <autoFilter ref="A10:XES62" xr:uid="{00000000-0001-0000-0200-000000000000}"/>
  <mergeCells count="4">
    <mergeCell ref="B5:H5"/>
    <mergeCell ref="B6:H6"/>
    <mergeCell ref="F8:H8"/>
    <mergeCell ref="F9:H9"/>
  </mergeCells>
  <phoneticPr fontId="3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1"/>
  <sheetViews>
    <sheetView workbookViewId="0">
      <selection activeCell="D20" sqref="D20"/>
    </sheetView>
  </sheetViews>
  <sheetFormatPr defaultColWidth="9" defaultRowHeight="13.5" x14ac:dyDescent="0.3"/>
  <cols>
    <col min="1" max="2" width="12.19921875" customWidth="1"/>
    <col min="3" max="4" width="14" customWidth="1"/>
  </cols>
  <sheetData>
    <row r="2" spans="1:4" ht="14.65" x14ac:dyDescent="0.3">
      <c r="A2" s="1" t="s">
        <v>581</v>
      </c>
      <c r="B2" s="1" t="s">
        <v>581</v>
      </c>
      <c r="C2" s="1" t="s">
        <v>582</v>
      </c>
      <c r="D2" s="1" t="s">
        <v>582</v>
      </c>
    </row>
    <row r="3" spans="1:4" ht="15.4" x14ac:dyDescent="0.3">
      <c r="A3" s="2" t="s">
        <v>519</v>
      </c>
      <c r="B3" s="2" t="s">
        <v>583</v>
      </c>
      <c r="C3" s="2" t="s">
        <v>571</v>
      </c>
      <c r="D3" s="2" t="s">
        <v>584</v>
      </c>
    </row>
    <row r="4" spans="1:4" ht="15.4" x14ac:dyDescent="0.3">
      <c r="A4" s="2" t="s">
        <v>524</v>
      </c>
      <c r="B4" s="2" t="s">
        <v>585</v>
      </c>
      <c r="C4" s="2" t="s">
        <v>579</v>
      </c>
      <c r="D4" s="2" t="s">
        <v>586</v>
      </c>
    </row>
    <row r="5" spans="1:4" ht="15.4" x14ac:dyDescent="0.3">
      <c r="A5" s="2" t="s">
        <v>529</v>
      </c>
      <c r="B5" s="2" t="s">
        <v>587</v>
      </c>
      <c r="C5" s="2" t="s">
        <v>554</v>
      </c>
      <c r="D5" s="2" t="s">
        <v>588</v>
      </c>
    </row>
    <row r="6" spans="1:4" ht="15.4" x14ac:dyDescent="0.3">
      <c r="A6" s="2" t="s">
        <v>543</v>
      </c>
      <c r="B6" s="2" t="s">
        <v>589</v>
      </c>
      <c r="C6" s="2" t="s">
        <v>520</v>
      </c>
      <c r="D6" s="2" t="s">
        <v>590</v>
      </c>
    </row>
    <row r="7" spans="1:4" ht="15.4" x14ac:dyDescent="0.3">
      <c r="A7" s="2" t="s">
        <v>548</v>
      </c>
      <c r="B7" s="2" t="s">
        <v>591</v>
      </c>
      <c r="C7" s="2" t="s">
        <v>290</v>
      </c>
      <c r="D7" s="2" t="s">
        <v>592</v>
      </c>
    </row>
    <row r="8" spans="1:4" ht="15.4" x14ac:dyDescent="0.3">
      <c r="A8" s="2" t="s">
        <v>550</v>
      </c>
      <c r="B8" s="2" t="s">
        <v>593</v>
      </c>
      <c r="C8" s="2" t="s">
        <v>531</v>
      </c>
      <c r="D8" s="2" t="s">
        <v>594</v>
      </c>
    </row>
    <row r="9" spans="1:4" ht="15.4" x14ac:dyDescent="0.3">
      <c r="A9" s="2" t="s">
        <v>552</v>
      </c>
      <c r="B9" s="2" t="s">
        <v>595</v>
      </c>
      <c r="C9" s="2" t="s">
        <v>532</v>
      </c>
      <c r="D9" s="2" t="s">
        <v>596</v>
      </c>
    </row>
    <row r="10" spans="1:4" ht="15.4" x14ac:dyDescent="0.3">
      <c r="A10" s="2" t="s">
        <v>560</v>
      </c>
      <c r="B10" s="2" t="s">
        <v>597</v>
      </c>
      <c r="C10" s="2" t="s">
        <v>561</v>
      </c>
      <c r="D10" s="2" t="s">
        <v>598</v>
      </c>
    </row>
    <row r="11" spans="1:4" ht="15.4" x14ac:dyDescent="0.3">
      <c r="A11" s="2" t="s">
        <v>562</v>
      </c>
      <c r="B11" s="2" t="s">
        <v>599</v>
      </c>
      <c r="C11" s="2" t="s">
        <v>545</v>
      </c>
      <c r="D11" s="2" t="s">
        <v>600</v>
      </c>
    </row>
    <row r="12" spans="1:4" ht="15.4" x14ac:dyDescent="0.3">
      <c r="A12" s="2" t="s">
        <v>601</v>
      </c>
      <c r="B12" s="2" t="s">
        <v>257</v>
      </c>
      <c r="C12" s="2" t="s">
        <v>549</v>
      </c>
      <c r="D12" s="2" t="s">
        <v>602</v>
      </c>
    </row>
    <row r="13" spans="1:4" ht="15.4" x14ac:dyDescent="0.3">
      <c r="A13" s="2" t="s">
        <v>569</v>
      </c>
      <c r="B13" s="2" t="s">
        <v>603</v>
      </c>
      <c r="C13" s="2" t="s">
        <v>534</v>
      </c>
      <c r="D13" s="2" t="s">
        <v>604</v>
      </c>
    </row>
    <row r="14" spans="1:4" ht="15.4" x14ac:dyDescent="0.3">
      <c r="A14" s="2" t="s">
        <v>572</v>
      </c>
      <c r="B14" s="2" t="s">
        <v>605</v>
      </c>
      <c r="C14" s="2" t="s">
        <v>574</v>
      </c>
      <c r="D14" s="2" t="s">
        <v>606</v>
      </c>
    </row>
    <row r="15" spans="1:4" ht="15.4" x14ac:dyDescent="0.3">
      <c r="C15" s="2" t="s">
        <v>535</v>
      </c>
      <c r="D15" s="2" t="s">
        <v>607</v>
      </c>
    </row>
    <row r="16" spans="1:4" ht="15.4" x14ac:dyDescent="0.3">
      <c r="C16" s="2" t="s">
        <v>536</v>
      </c>
      <c r="D16" s="2" t="s">
        <v>608</v>
      </c>
    </row>
    <row r="17" spans="3:4" ht="15.4" x14ac:dyDescent="0.3">
      <c r="C17" s="2" t="s">
        <v>556</v>
      </c>
      <c r="D17" s="2" t="s">
        <v>609</v>
      </c>
    </row>
    <row r="18" spans="3:4" ht="15.4" x14ac:dyDescent="0.3">
      <c r="C18" s="2" t="s">
        <v>610</v>
      </c>
      <c r="D18" s="2" t="s">
        <v>611</v>
      </c>
    </row>
    <row r="19" spans="3:4" ht="15.4" x14ac:dyDescent="0.3">
      <c r="C19" s="2" t="s">
        <v>576</v>
      </c>
      <c r="D19" s="2" t="s">
        <v>612</v>
      </c>
    </row>
    <row r="20" spans="3:4" ht="15.4" x14ac:dyDescent="0.3">
      <c r="C20" s="2" t="s">
        <v>577</v>
      </c>
      <c r="D20" s="2" t="s">
        <v>613</v>
      </c>
    </row>
    <row r="21" spans="3:4" ht="15.4" x14ac:dyDescent="0.3">
      <c r="C21" s="2" t="s">
        <v>546</v>
      </c>
      <c r="D21" s="2" t="s">
        <v>614</v>
      </c>
    </row>
    <row r="22" spans="3:4" ht="15.4" x14ac:dyDescent="0.3">
      <c r="C22" s="2" t="s">
        <v>547</v>
      </c>
      <c r="D22" s="2" t="s">
        <v>615</v>
      </c>
    </row>
    <row r="23" spans="3:4" ht="15.4" x14ac:dyDescent="0.3">
      <c r="C23" s="2" t="s">
        <v>563</v>
      </c>
      <c r="D23" s="2" t="s">
        <v>616</v>
      </c>
    </row>
    <row r="24" spans="3:4" ht="15.4" x14ac:dyDescent="0.3">
      <c r="C24" s="2" t="s">
        <v>525</v>
      </c>
      <c r="D24" s="2" t="s">
        <v>617</v>
      </c>
    </row>
    <row r="25" spans="3:4" ht="15.4" x14ac:dyDescent="0.3">
      <c r="C25" s="2" t="s">
        <v>538</v>
      </c>
      <c r="D25" s="2" t="s">
        <v>618</v>
      </c>
    </row>
    <row r="26" spans="3:4" ht="15.4" x14ac:dyDescent="0.3">
      <c r="C26" s="2" t="s">
        <v>569</v>
      </c>
      <c r="D26" s="2" t="s">
        <v>603</v>
      </c>
    </row>
    <row r="27" spans="3:4" ht="15.4" x14ac:dyDescent="0.3">
      <c r="C27" s="2" t="s">
        <v>539</v>
      </c>
      <c r="D27" s="2" t="s">
        <v>619</v>
      </c>
    </row>
    <row r="28" spans="3:4" ht="15.4" x14ac:dyDescent="0.3">
      <c r="C28" s="2" t="s">
        <v>526</v>
      </c>
      <c r="D28" s="2" t="s">
        <v>620</v>
      </c>
    </row>
    <row r="29" spans="3:4" ht="15.4" x14ac:dyDescent="0.3">
      <c r="C29" s="2" t="s">
        <v>557</v>
      </c>
      <c r="D29" s="2" t="s">
        <v>621</v>
      </c>
    </row>
    <row r="30" spans="3:4" ht="15.4" x14ac:dyDescent="0.3">
      <c r="C30" s="2" t="s">
        <v>622</v>
      </c>
      <c r="D30" s="2" t="s">
        <v>623</v>
      </c>
    </row>
    <row r="31" spans="3:4" ht="15.4" x14ac:dyDescent="0.3">
      <c r="C31" s="2" t="s">
        <v>565</v>
      </c>
      <c r="D31" s="2" t="s">
        <v>624</v>
      </c>
    </row>
    <row r="32" spans="3:4" ht="15.4" x14ac:dyDescent="0.3">
      <c r="C32" s="2" t="s">
        <v>522</v>
      </c>
      <c r="D32" s="2" t="s">
        <v>625</v>
      </c>
    </row>
    <row r="33" spans="3:4" ht="15.4" x14ac:dyDescent="0.3">
      <c r="C33" s="2" t="s">
        <v>566</v>
      </c>
      <c r="D33" s="2" t="s">
        <v>626</v>
      </c>
    </row>
    <row r="34" spans="3:4" ht="15.4" x14ac:dyDescent="0.3">
      <c r="C34" s="2" t="s">
        <v>580</v>
      </c>
      <c r="D34" s="2" t="s">
        <v>627</v>
      </c>
    </row>
    <row r="35" spans="3:4" ht="15.4" x14ac:dyDescent="0.3">
      <c r="C35" s="2" t="s">
        <v>523</v>
      </c>
      <c r="D35" s="2" t="s">
        <v>628</v>
      </c>
    </row>
    <row r="36" spans="3:4" ht="15.4" x14ac:dyDescent="0.3">
      <c r="C36" s="2" t="s">
        <v>567</v>
      </c>
      <c r="D36" s="2" t="s">
        <v>629</v>
      </c>
    </row>
    <row r="37" spans="3:4" ht="15.4" x14ac:dyDescent="0.3">
      <c r="C37" s="2" t="s">
        <v>559</v>
      </c>
      <c r="D37" s="2" t="s">
        <v>630</v>
      </c>
    </row>
    <row r="38" spans="3:4" ht="15.4" x14ac:dyDescent="0.3">
      <c r="C38" s="2" t="s">
        <v>540</v>
      </c>
      <c r="D38" s="2" t="s">
        <v>631</v>
      </c>
    </row>
    <row r="39" spans="3:4" ht="15.4" x14ac:dyDescent="0.3">
      <c r="C39" s="2" t="s">
        <v>541</v>
      </c>
      <c r="D39" s="2" t="s">
        <v>632</v>
      </c>
    </row>
    <row r="40" spans="3:4" ht="15.4" x14ac:dyDescent="0.3">
      <c r="C40" s="2" t="s">
        <v>542</v>
      </c>
      <c r="D40" s="2" t="s">
        <v>633</v>
      </c>
    </row>
    <row r="41" spans="3:4" ht="15.4" x14ac:dyDescent="0.3">
      <c r="C41" s="2" t="s">
        <v>551</v>
      </c>
      <c r="D41" s="2" t="s">
        <v>634</v>
      </c>
    </row>
  </sheetData>
  <phoneticPr fontId="3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整车装载能力</vt:lpstr>
      <vt:lpstr>整车费率</vt:lpstr>
      <vt:lpstr>零担费率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Jusda</dc:creator>
  <cp:lastModifiedBy>川 廖</cp:lastModifiedBy>
  <dcterms:created xsi:type="dcterms:W3CDTF">2026-08-24T11:14:00Z</dcterms:created>
  <dcterms:modified xsi:type="dcterms:W3CDTF">2026-08-30T08:54:06Z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241D529F7D7846339342043742A8B9C3_13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