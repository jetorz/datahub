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9"/>
  <workbookPr/>
  <mc:AlternateContent xmlns:mc="http://schemas.openxmlformats.org/markup-compatibility/2006">
    <mc:Choice Requires="x15">
      <x15ac:absPath xmlns:x15ac="http://schemas.microsoft.com/office/spreadsheetml/2010/11/ac" url="E:\2 物流\2.本地仓配\大中华区\1.仓项目\0818河源西可农机原材料仓-半成品存放\0 外发资料\"/>
    </mc:Choice>
  </mc:AlternateContent>
  <xr:revisionPtr revIDLastSave="0" documentId="13_ncr:1_{BE33CD0A-C875-47EF-B011-E7FC78D203CF}" xr6:coauthVersionLast="36" xr6:coauthVersionMax="36" xr10:uidLastSave="{00000000-0000-0000-0000-000000000000}"/>
  <bookViews>
    <workbookView xWindow="0" yWindow="0" windowWidth="14400" windowHeight="5558" xr2:uid="{00000000-000D-0000-FFFF-FFFF00000000}"/>
  </bookViews>
  <sheets>
    <sheet name="0项目计划" sheetId="7" r:id="rId1"/>
    <sheet name="1仓储结算场景及报价" sheetId="1" r:id="rId2"/>
    <sheet name="2 仓投入明细表" sheetId="2" r:id="rId3"/>
  </sheets>
  <calcPr calcId="191029"/>
</workbook>
</file>

<file path=xl/calcChain.xml><?xml version="1.0" encoding="utf-8"?>
<calcChain xmlns="http://schemas.openxmlformats.org/spreadsheetml/2006/main">
  <c r="J70" i="2" l="1"/>
  <c r="I70" i="2"/>
  <c r="H70" i="2" s="1"/>
  <c r="C70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56" i="2" s="1"/>
</calcChain>
</file>

<file path=xl/sharedStrings.xml><?xml version="1.0" encoding="utf-8"?>
<sst xmlns="http://schemas.openxmlformats.org/spreadsheetml/2006/main" count="200" uniqueCount="153">
  <si>
    <t>结费场景</t>
  </si>
  <si>
    <t>结费单位</t>
  </si>
  <si>
    <t>结费方式</t>
  </si>
  <si>
    <t>入库</t>
  </si>
  <si>
    <t>入库操作费</t>
  </si>
  <si>
    <t>元/CBM</t>
  </si>
  <si>
    <t>库存管理</t>
  </si>
  <si>
    <t>存储费</t>
  </si>
  <si>
    <t>出库</t>
  </si>
  <si>
    <t>*除如上报价外，合同及SOW中提到的明确作业内容不允许再单独收费；
*加班费用需考虑进出入库操作费用中，不接受单独计费；
*报价不含税，请备注税率</t>
    <phoneticPr fontId="8" type="noConversion"/>
  </si>
  <si>
    <t>项目投入明细</t>
    <phoneticPr fontId="8" type="noConversion"/>
  </si>
  <si>
    <t>序号</t>
    <phoneticPr fontId="8" type="noConversion"/>
  </si>
  <si>
    <t>项目</t>
    <phoneticPr fontId="8" type="noConversion"/>
  </si>
  <si>
    <t>费用条目</t>
    <phoneticPr fontId="8" type="noConversion"/>
  </si>
  <si>
    <t>说明</t>
    <phoneticPr fontId="8" type="noConversion"/>
  </si>
  <si>
    <t>单位</t>
    <phoneticPr fontId="8" type="noConversion"/>
  </si>
  <si>
    <t>数量/月</t>
    <phoneticPr fontId="8" type="noConversion"/>
  </si>
  <si>
    <t>未税单价/月</t>
    <phoneticPr fontId="8" type="noConversion"/>
  </si>
  <si>
    <t>合计月/元</t>
    <phoneticPr fontId="8" type="noConversion"/>
  </si>
  <si>
    <t>分摊至的报价单费项</t>
    <phoneticPr fontId="8" type="noConversion"/>
  </si>
  <si>
    <t>操作及办公设备</t>
    <phoneticPr fontId="8" type="noConversion"/>
  </si>
  <si>
    <t>3年分摊，请提供明细清单</t>
  </si>
  <si>
    <t>\</t>
    <phoneticPr fontId="16" type="noConversion"/>
  </si>
  <si>
    <t>见下文明细</t>
    <phoneticPr fontId="17" type="noConversion"/>
  </si>
  <si>
    <t>人工</t>
    <phoneticPr fontId="8" type="noConversion"/>
  </si>
  <si>
    <t>项目经理</t>
    <phoneticPr fontId="8" type="noConversion"/>
  </si>
  <si>
    <t>对应岗位如无则写0，如有缺失请自行增补填写</t>
    <phoneticPr fontId="8" type="noConversion"/>
  </si>
  <si>
    <t>个</t>
    <phoneticPr fontId="8" type="noConversion"/>
  </si>
  <si>
    <t>仓储主管</t>
    <phoneticPr fontId="8" type="noConversion"/>
  </si>
  <si>
    <t>对应岗位如无则写0，如有缺失请自行增补填写</t>
  </si>
  <si>
    <t>入库组（对应岗位如无则写0，如有缺失请自行增补填写）</t>
    <phoneticPr fontId="8" type="noConversion"/>
  </si>
  <si>
    <t>入库负责人</t>
    <phoneticPr fontId="8" type="noConversion"/>
  </si>
  <si>
    <t>收货员</t>
    <phoneticPr fontId="8" type="noConversion"/>
  </si>
  <si>
    <t>上架员</t>
    <phoneticPr fontId="8" type="noConversion"/>
  </si>
  <si>
    <t>存储组（对应岗位如无则写0，如有缺失请自行增补填写）</t>
    <phoneticPr fontId="8" type="noConversion"/>
  </si>
  <si>
    <t>库存负责人</t>
    <phoneticPr fontId="8" type="noConversion"/>
  </si>
  <si>
    <t>补货员</t>
    <phoneticPr fontId="8" type="noConversion"/>
  </si>
  <si>
    <t>盘点员岗</t>
    <phoneticPr fontId="8" type="noConversion"/>
  </si>
  <si>
    <t>叉车司机岗</t>
    <phoneticPr fontId="8" type="noConversion"/>
  </si>
  <si>
    <t>出库组（对应岗位如无则写0，如有缺失请自行增补填写）</t>
    <phoneticPr fontId="8" type="noConversion"/>
  </si>
  <si>
    <t>出库负责人岗</t>
    <phoneticPr fontId="8" type="noConversion"/>
  </si>
  <si>
    <t>拣货员岗</t>
    <phoneticPr fontId="8" type="noConversion"/>
  </si>
  <si>
    <t>复核员岗</t>
    <phoneticPr fontId="8" type="noConversion"/>
  </si>
  <si>
    <t>打包员岗</t>
    <phoneticPr fontId="8" type="noConversion"/>
  </si>
  <si>
    <t>装卸员岗</t>
    <phoneticPr fontId="8" type="noConversion"/>
  </si>
  <si>
    <t>发货员岗</t>
    <phoneticPr fontId="8" type="noConversion"/>
  </si>
  <si>
    <t>其他人员（对应岗位如无则写0，如有缺失请自行增补填写）</t>
    <phoneticPr fontId="8" type="noConversion"/>
  </si>
  <si>
    <t>包括但不限于运营、异常处理、行政支持等</t>
    <phoneticPr fontId="8" type="noConversion"/>
  </si>
  <si>
    <t>工建</t>
    <phoneticPr fontId="8" type="noConversion"/>
  </si>
  <si>
    <t>强弱电改造工建</t>
    <phoneticPr fontId="8" type="noConversion"/>
  </si>
  <si>
    <t>电池房恒温恒湿及消防工建</t>
    <phoneticPr fontId="8" type="noConversion"/>
  </si>
  <si>
    <t>照明改造</t>
    <phoneticPr fontId="8" type="noConversion"/>
  </si>
  <si>
    <t>其他工建（网络等）</t>
    <phoneticPr fontId="8" type="noConversion"/>
  </si>
  <si>
    <t>3年分摊，请提供明细清单</t>
    <phoneticPr fontId="8" type="noConversion"/>
  </si>
  <si>
    <t>场地</t>
    <phoneticPr fontId="8" type="noConversion"/>
  </si>
  <si>
    <t>场地租金</t>
    <phoneticPr fontId="8" type="noConversion"/>
  </si>
  <si>
    <t>㎡</t>
  </si>
  <si>
    <t>物业管理</t>
    <phoneticPr fontId="8" type="noConversion"/>
  </si>
  <si>
    <t>装修摊销成本</t>
    <phoneticPr fontId="8" type="noConversion"/>
  </si>
  <si>
    <t>3年分摊</t>
    <phoneticPr fontId="8" type="noConversion"/>
  </si>
  <si>
    <t>耗材</t>
    <phoneticPr fontId="8" type="noConversion"/>
  </si>
  <si>
    <t>办公耗材及生产耗材</t>
    <phoneticPr fontId="8" type="noConversion"/>
  </si>
  <si>
    <t>请提供明细清单</t>
    <phoneticPr fontId="8" type="noConversion"/>
  </si>
  <si>
    <t>保险</t>
    <phoneticPr fontId="8" type="noConversion"/>
  </si>
  <si>
    <t>针对客户要求进行投保</t>
  </si>
  <si>
    <t>水电费</t>
    <phoneticPr fontId="8" type="noConversion"/>
  </si>
  <si>
    <t>按月度</t>
    <phoneticPr fontId="8" type="noConversion"/>
  </si>
  <si>
    <t>利润</t>
    <phoneticPr fontId="8" type="noConversion"/>
  </si>
  <si>
    <t>年度费用总计</t>
    <phoneticPr fontId="8" type="noConversion"/>
  </si>
  <si>
    <t>三年费用总计</t>
    <phoneticPr fontId="8" type="noConversion"/>
  </si>
  <si>
    <t>需代公式</t>
    <phoneticPr fontId="17" type="noConversion"/>
  </si>
  <si>
    <t>总费用</t>
    <phoneticPr fontId="17" type="noConversion"/>
  </si>
  <si>
    <t>需求量</t>
    <phoneticPr fontId="17" type="noConversion"/>
  </si>
  <si>
    <t>单价</t>
    <phoneticPr fontId="17" type="noConversion"/>
  </si>
  <si>
    <t>仓储单价核算</t>
    <phoneticPr fontId="8" type="noConversion"/>
  </si>
  <si>
    <t>储存费用</t>
    <phoneticPr fontId="8" type="noConversion"/>
  </si>
  <si>
    <t>操作单价核算</t>
    <phoneticPr fontId="8" type="noConversion"/>
  </si>
  <si>
    <t>设备明细数据示例</t>
    <phoneticPr fontId="17" type="noConversion"/>
  </si>
  <si>
    <t>设备类型</t>
    <phoneticPr fontId="17" type="noConversion"/>
  </si>
  <si>
    <t>物料/设备名</t>
    <phoneticPr fontId="17" type="noConversion"/>
  </si>
  <si>
    <t>需求数</t>
    <phoneticPr fontId="17" type="noConversion"/>
  </si>
  <si>
    <t>需求数量逻辑</t>
    <phoneticPr fontId="17" type="noConversion"/>
  </si>
  <si>
    <t>价格原值</t>
    <phoneticPr fontId="17" type="noConversion"/>
  </si>
  <si>
    <t>折旧年限</t>
    <phoneticPr fontId="17" type="noConversion"/>
  </si>
  <si>
    <t>总费用/月</t>
    <phoneticPr fontId="17" type="noConversion"/>
  </si>
  <si>
    <t>分摊至的报价单费项</t>
    <phoneticPr fontId="17" type="noConversion"/>
  </si>
  <si>
    <t>安防设备</t>
    <phoneticPr fontId="17" type="noConversion"/>
  </si>
  <si>
    <t>CCTV</t>
    <phoneticPr fontId="17" type="noConversion"/>
  </si>
  <si>
    <t>存储设备</t>
  </si>
  <si>
    <t>托盘</t>
  </si>
  <si>
    <t>搁板货架</t>
  </si>
  <si>
    <t>横梁货架</t>
  </si>
  <si>
    <t>拣选设备</t>
  </si>
  <si>
    <t>RF/PDA</t>
  </si>
  <si>
    <t>拣货车</t>
  </si>
  <si>
    <t>打包工作台</t>
  </si>
  <si>
    <t>办公设备</t>
  </si>
  <si>
    <t>标签打印机</t>
  </si>
  <si>
    <t>有线扫描枪</t>
  </si>
  <si>
    <t>电脑一体机</t>
  </si>
  <si>
    <t>单据打印机（针式）</t>
  </si>
  <si>
    <t>激光打印机</t>
  </si>
  <si>
    <t>办公工作台</t>
  </si>
  <si>
    <t>办公工作椅</t>
  </si>
  <si>
    <t>…</t>
    <phoneticPr fontId="17" type="noConversion"/>
  </si>
  <si>
    <t>合计</t>
    <phoneticPr fontId="17" type="noConversion"/>
  </si>
  <si>
    <t>人力成本明细数据示例</t>
    <phoneticPr fontId="17" type="noConversion"/>
  </si>
  <si>
    <t>人力成本明细</t>
    <phoneticPr fontId="16" type="noConversion"/>
  </si>
  <si>
    <t>岗位</t>
    <phoneticPr fontId="17" type="noConversion"/>
  </si>
  <si>
    <t>人数</t>
    <phoneticPr fontId="17" type="noConversion"/>
  </si>
  <si>
    <t>基本工资/月/人</t>
    <phoneticPr fontId="17" type="noConversion"/>
  </si>
  <si>
    <t>加班费基数</t>
    <phoneticPr fontId="17" type="noConversion"/>
  </si>
  <si>
    <t>正常工时/月/人</t>
    <phoneticPr fontId="17" type="noConversion"/>
  </si>
  <si>
    <t>社保公积金缴纳比例</t>
    <phoneticPr fontId="17" type="noConversion"/>
  </si>
  <si>
    <t>工资/月/人</t>
    <phoneticPr fontId="17" type="noConversion"/>
  </si>
  <si>
    <t>总人力成本</t>
    <phoneticPr fontId="17" type="noConversion"/>
  </si>
  <si>
    <t>总工时</t>
    <phoneticPr fontId="17" type="noConversion"/>
  </si>
  <si>
    <t>请根据需求填写-可自行增加行数</t>
    <phoneticPr fontId="17" type="noConversion"/>
  </si>
  <si>
    <t>请根据实际情况预估</t>
    <phoneticPr fontId="17" type="noConversion"/>
  </si>
  <si>
    <t>公式列：基本薪资/正常工时</t>
    <phoneticPr fontId="17" type="noConversion"/>
  </si>
  <si>
    <t>请根据实际情况预估，正常情况22天*8H</t>
    <phoneticPr fontId="17" type="noConversion"/>
  </si>
  <si>
    <t>请提供社保公积金缴费比例</t>
    <phoneticPr fontId="17" type="noConversion"/>
  </si>
  <si>
    <t>公式列：基本薪资+其他补贴+加班费基数*平时加班工时*1.5+加班费基数*周末加班工时*2+社保公积金缴纳比例*基本工资</t>
    <phoneticPr fontId="17" type="noConversion"/>
  </si>
  <si>
    <t>公式列：人均月工资*人数</t>
    <phoneticPr fontId="17" type="noConversion"/>
  </si>
  <si>
    <t>公式列：（正常工时+平时加班工时+周末加班工时）*人数</t>
    <phoneticPr fontId="17" type="noConversion"/>
  </si>
  <si>
    <t>场地数据示例</t>
    <phoneticPr fontId="17" type="noConversion"/>
  </si>
  <si>
    <t>场地规划</t>
    <phoneticPr fontId="17" type="noConversion"/>
  </si>
  <si>
    <t>面积</t>
    <phoneticPr fontId="17" type="noConversion"/>
  </si>
  <si>
    <t>面积逻辑</t>
    <phoneticPr fontId="17" type="noConversion"/>
  </si>
  <si>
    <t>使用面积</t>
    <phoneticPr fontId="17" type="noConversion"/>
  </si>
  <si>
    <t>存储区</t>
    <phoneticPr fontId="17" type="noConversion"/>
  </si>
  <si>
    <t>理货区</t>
    <phoneticPr fontId="17" type="noConversion"/>
  </si>
  <si>
    <t>收货区</t>
    <phoneticPr fontId="17" type="noConversion"/>
  </si>
  <si>
    <t>发货区</t>
    <phoneticPr fontId="17" type="noConversion"/>
  </si>
  <si>
    <t>办公室</t>
    <phoneticPr fontId="17" type="noConversion"/>
  </si>
  <si>
    <t>公摊面积</t>
    <phoneticPr fontId="17" type="noConversion"/>
  </si>
  <si>
    <t>总建筑面积</t>
    <phoneticPr fontId="17" type="noConversion"/>
  </si>
  <si>
    <t>该场地理论存放的CBM</t>
    <phoneticPr fontId="17" type="noConversion"/>
  </si>
  <si>
    <t>入库费用</t>
    <phoneticPr fontId="8" type="noConversion"/>
  </si>
  <si>
    <t>No.</t>
  </si>
  <si>
    <t>Item</t>
  </si>
  <si>
    <t>DDL</t>
  </si>
  <si>
    <t>外发需求</t>
  </si>
  <si>
    <t>定商后</t>
  </si>
  <si>
    <t>场地ready时间</t>
  </si>
  <si>
    <t>定商</t>
    <phoneticPr fontId="8" type="noConversion"/>
  </si>
  <si>
    <t>独立运营时间</t>
    <phoneticPr fontId="8" type="noConversion"/>
  </si>
  <si>
    <t>出库费用</t>
    <phoneticPr fontId="8" type="noConversion"/>
  </si>
  <si>
    <t>1.统计结算周期内，入库单中各物料的数量；
2.根据DJI系统中采集的彩盒外箱规格参数（长宽高），将相对应的物料数量和物料参数相乘；
3.各物料乘积之和，作为结算的最终体积数据。数据保留2位小数</t>
    <phoneticPr fontId="8" type="noConversion"/>
  </si>
  <si>
    <r>
      <t>1.提供结算周期内每天的存储数据，包括料号、数量、库位等；
2.根据上述数据，计算各物料当月的日平均存储数量；
3.根据DJI系统中采集的彩盒外箱规格参数（长宽高），将相对应的物料数量和物料参数相乘计算得出体积。</t>
    </r>
    <r>
      <rPr>
        <strike/>
        <sz val="11"/>
        <rFont val="Microsoft YaHei Light"/>
        <family val="2"/>
        <charset val="134"/>
      </rPr>
      <t xml:space="preserve">
</t>
    </r>
    <r>
      <rPr>
        <sz val="11"/>
        <rFont val="Microsoft YaHei Light"/>
        <family val="2"/>
        <charset val="134"/>
      </rPr>
      <t xml:space="preserve">4.各物料体积之和，作为结算的最终体积数据。数据保留2位小数。
</t>
    </r>
    <phoneticPr fontId="8" type="noConversion"/>
  </si>
  <si>
    <t>1.统计结算周期内，出库单中各物料的数量；
2.根据DJI系统中采集的产品彩盒规格参数（长宽高），将相对应的物料数量和物料参数相乘；
3.各物料乘积之和，作为结算的最终体积数据。数据保留2位小数</t>
    <phoneticPr fontId="8" type="noConversion"/>
  </si>
  <si>
    <t>未税报价（CNY)
税率6%</t>
    <phoneticPr fontId="8" type="noConversion"/>
  </si>
  <si>
    <t>出库操作费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</si>
</sst>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 * #,##0_ ;_ * \-#,##0_ ;_ * &quot;-&quot;??_ ;_ @_ "/>
    <numFmt numFmtId="177" formatCode="[$-409]mmm/yy;@"/>
    <numFmt numFmtId="178" formatCode="0.0_);[Red]\(0.0\)"/>
    <numFmt numFmtId="179" formatCode="0.00_);[Red]\(0.00\)"/>
  </numFmts>
  <fonts count="32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Microsoft YaHei Light"/>
      <family val="2"/>
      <charset val="134"/>
    </font>
    <font>
      <sz val="11"/>
      <color theme="0"/>
      <name val="Microsoft YaHei Light"/>
      <family val="2"/>
      <charset val="134"/>
    </font>
    <font>
      <sz val="11"/>
      <name val="Microsoft YaHei Light"/>
      <family val="2"/>
      <charset val="134"/>
    </font>
    <font>
      <sz val="11"/>
      <color theme="1"/>
      <name val="等线"/>
      <family val="3"/>
      <charset val="134"/>
      <scheme val="minor"/>
    </font>
    <font>
      <strike/>
      <sz val="11"/>
      <name val="Microsoft YaHei Light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404040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9"/>
      <name val="微软雅黑"/>
      <family val="2"/>
      <charset val="134"/>
    </font>
    <font>
      <sz val="10"/>
      <color theme="4" tint="-0.249977111117893"/>
      <name val="微软雅黑"/>
      <family val="2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/>
      <top style="medium">
        <color rgb="FFA3A3A3"/>
      </top>
      <bottom style="medium">
        <color rgb="FFA3A3A3"/>
      </bottom>
      <diagonal/>
    </border>
  </borders>
  <cellStyleXfs count="11">
    <xf numFmtId="0" fontId="0" fillId="0" borderId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177" fontId="1" fillId="0" borderId="0"/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3" borderId="1" xfId="4" applyFont="1" applyFill="1" applyBorder="1" applyAlignment="1">
      <alignment horizontal="center" vertical="center" wrapText="1"/>
    </xf>
    <xf numFmtId="0" fontId="13" fillId="0" borderId="0" xfId="0" applyFont="1" applyBorder="1" applyAlignment="1">
      <alignment vertical="center"/>
    </xf>
    <xf numFmtId="0" fontId="1" fillId="0" borderId="0" xfId="5"/>
    <xf numFmtId="0" fontId="14" fillId="2" borderId="1" xfId="5" applyFont="1" applyFill="1" applyBorder="1" applyAlignment="1">
      <alignment horizontal="center" vertical="center"/>
    </xf>
    <xf numFmtId="0" fontId="14" fillId="2" borderId="1" xfId="5" applyFont="1" applyFill="1" applyBorder="1" applyAlignment="1">
      <alignment horizontal="center" vertical="center" wrapText="1"/>
    </xf>
    <xf numFmtId="0" fontId="9" fillId="0" borderId="1" xfId="5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 wrapText="1"/>
    </xf>
    <xf numFmtId="0" fontId="9" fillId="0" borderId="1" xfId="5" applyFont="1" applyBorder="1" applyAlignment="1">
      <alignment horizontal="center" wrapText="1"/>
    </xf>
    <xf numFmtId="0" fontId="9" fillId="0" borderId="1" xfId="5" applyFont="1" applyBorder="1"/>
    <xf numFmtId="0" fontId="1" fillId="0" borderId="1" xfId="5" applyBorder="1"/>
    <xf numFmtId="0" fontId="9" fillId="0" borderId="1" xfId="5" applyFont="1" applyBorder="1" applyAlignment="1">
      <alignment horizontal="center"/>
    </xf>
    <xf numFmtId="0" fontId="18" fillId="0" borderId="1" xfId="6" applyFont="1" applyBorder="1" applyAlignment="1">
      <alignment horizontal="center" wrapText="1"/>
    </xf>
    <xf numFmtId="0" fontId="19" fillId="0" borderId="1" xfId="6" applyFont="1" applyBorder="1" applyAlignment="1">
      <alignment horizontal="center" wrapText="1"/>
    </xf>
    <xf numFmtId="0" fontId="19" fillId="0" borderId="1" xfId="6" applyFont="1" applyBorder="1" applyAlignment="1">
      <alignment horizontal="center" vertical="center" wrapText="1"/>
    </xf>
    <xf numFmtId="0" fontId="9" fillId="0" borderId="0" xfId="5" applyFont="1"/>
    <xf numFmtId="0" fontId="9" fillId="0" borderId="0" xfId="5" applyFont="1" applyAlignment="1">
      <alignment horizontal="center" wrapText="1"/>
    </xf>
    <xf numFmtId="0" fontId="14" fillId="2" borderId="1" xfId="5" applyFont="1" applyFill="1" applyBorder="1"/>
    <xf numFmtId="0" fontId="14" fillId="0" borderId="0" xfId="5" applyFont="1" applyFill="1" applyBorder="1"/>
    <xf numFmtId="0" fontId="1" fillId="0" borderId="0" xfId="5" applyAlignment="1">
      <alignment wrapText="1"/>
    </xf>
    <xf numFmtId="0" fontId="20" fillId="0" borderId="0" xfId="5" applyFont="1" applyAlignment="1">
      <alignment wrapText="1"/>
    </xf>
    <xf numFmtId="0" fontId="9" fillId="0" borderId="0" xfId="5" applyFont="1" applyFill="1" applyBorder="1" applyAlignment="1">
      <alignment horizontal="center" vertical="center"/>
    </xf>
    <xf numFmtId="176" fontId="21" fillId="4" borderId="1" xfId="7" applyNumberFormat="1" applyFont="1" applyFill="1" applyBorder="1" applyAlignment="1">
      <alignment horizontal="left"/>
    </xf>
    <xf numFmtId="176" fontId="22" fillId="4" borderId="1" xfId="7" applyNumberFormat="1" applyFont="1" applyFill="1" applyBorder="1" applyAlignment="1">
      <alignment horizontal="left"/>
    </xf>
    <xf numFmtId="176" fontId="22" fillId="4" borderId="1" xfId="7" applyNumberFormat="1" applyFont="1" applyFill="1" applyBorder="1" applyAlignment="1"/>
    <xf numFmtId="178" fontId="23" fillId="0" borderId="0" xfId="8" applyNumberFormat="1" applyFont="1" applyFill="1" applyBorder="1" applyAlignment="1">
      <alignment vertical="center"/>
    </xf>
    <xf numFmtId="178" fontId="24" fillId="0" borderId="0" xfId="8" applyNumberFormat="1" applyFont="1" applyAlignment="1">
      <alignment vertical="center"/>
    </xf>
    <xf numFmtId="178" fontId="24" fillId="0" borderId="0" xfId="8" applyNumberFormat="1" applyFont="1" applyAlignment="1">
      <alignment vertical="center" wrapText="1"/>
    </xf>
    <xf numFmtId="178" fontId="12" fillId="0" borderId="0" xfId="8" applyNumberFormat="1" applyFont="1" applyAlignment="1">
      <alignment vertical="center"/>
    </xf>
    <xf numFmtId="178" fontId="25" fillId="0" borderId="0" xfId="6" applyNumberFormat="1" applyFont="1" applyFill="1" applyBorder="1" applyAlignment="1">
      <alignment vertical="center"/>
    </xf>
    <xf numFmtId="178" fontId="12" fillId="0" borderId="0" xfId="8" applyNumberFormat="1" applyFont="1" applyAlignment="1">
      <alignment vertical="center" wrapText="1"/>
    </xf>
    <xf numFmtId="178" fontId="26" fillId="5" borderId="1" xfId="6" applyNumberFormat="1" applyFont="1" applyFill="1" applyBorder="1" applyAlignment="1">
      <alignment horizontal="center" vertical="center"/>
    </xf>
    <xf numFmtId="178" fontId="26" fillId="5" borderId="7" xfId="6" applyNumberFormat="1" applyFont="1" applyFill="1" applyBorder="1" applyAlignment="1">
      <alignment horizontal="center" vertical="center"/>
    </xf>
    <xf numFmtId="178" fontId="26" fillId="5" borderId="7" xfId="6" applyNumberFormat="1" applyFont="1" applyFill="1" applyBorder="1" applyAlignment="1">
      <alignment horizontal="center" vertical="center" wrapText="1"/>
    </xf>
    <xf numFmtId="178" fontId="26" fillId="5" borderId="8" xfId="6" applyNumberFormat="1" applyFont="1" applyFill="1" applyBorder="1" applyAlignment="1">
      <alignment horizontal="center" vertical="center"/>
    </xf>
    <xf numFmtId="178" fontId="24" fillId="0" borderId="1" xfId="6" applyNumberFormat="1" applyFont="1" applyFill="1" applyBorder="1" applyAlignment="1">
      <alignment horizontal="center" vertical="center"/>
    </xf>
    <xf numFmtId="178" fontId="24" fillId="0" borderId="2" xfId="6" applyNumberFormat="1" applyFont="1" applyFill="1" applyBorder="1" applyAlignment="1">
      <alignment horizontal="center" vertical="center"/>
    </xf>
    <xf numFmtId="176" fontId="24" fillId="0" borderId="2" xfId="7" applyNumberFormat="1" applyFont="1" applyFill="1" applyBorder="1" applyAlignment="1">
      <alignment horizontal="center" vertical="center" wrapText="1"/>
    </xf>
    <xf numFmtId="178" fontId="24" fillId="0" borderId="2" xfId="6" applyNumberFormat="1" applyFont="1" applyFill="1" applyBorder="1" applyAlignment="1">
      <alignment horizontal="center" vertical="center" wrapText="1"/>
    </xf>
    <xf numFmtId="176" fontId="24" fillId="0" borderId="1" xfId="7" applyNumberFormat="1" applyFont="1" applyFill="1" applyBorder="1" applyAlignment="1">
      <alignment vertical="center"/>
    </xf>
    <xf numFmtId="179" fontId="24" fillId="0" borderId="9" xfId="6" applyNumberFormat="1" applyFont="1" applyFill="1" applyBorder="1" applyAlignment="1">
      <alignment horizontal="center" vertical="center" wrapText="1"/>
    </xf>
    <xf numFmtId="0" fontId="1" fillId="0" borderId="0" xfId="5" applyFill="1"/>
    <xf numFmtId="176" fontId="24" fillId="0" borderId="2" xfId="7" applyNumberFormat="1" applyFont="1" applyFill="1" applyBorder="1" applyAlignment="1">
      <alignment vertical="center"/>
    </xf>
    <xf numFmtId="178" fontId="24" fillId="0" borderId="9" xfId="6" applyNumberFormat="1" applyFont="1" applyFill="1" applyBorder="1" applyAlignment="1">
      <alignment horizontal="left" vertical="center"/>
    </xf>
    <xf numFmtId="178" fontId="24" fillId="6" borderId="10" xfId="6" applyNumberFormat="1" applyFont="1" applyFill="1" applyBorder="1" applyAlignment="1">
      <alignment horizontal="center" vertical="center"/>
    </xf>
    <xf numFmtId="176" fontId="24" fillId="6" borderId="10" xfId="7" applyNumberFormat="1" applyFont="1" applyFill="1" applyBorder="1" applyAlignment="1">
      <alignment horizontal="center" vertical="center" wrapText="1"/>
    </xf>
    <xf numFmtId="178" fontId="24" fillId="6" borderId="10" xfId="6" applyNumberFormat="1" applyFont="1" applyFill="1" applyBorder="1" applyAlignment="1">
      <alignment horizontal="center" vertical="center" wrapText="1"/>
    </xf>
    <xf numFmtId="176" fontId="24" fillId="7" borderId="10" xfId="7" applyNumberFormat="1" applyFont="1" applyFill="1" applyBorder="1" applyAlignment="1">
      <alignment horizontal="center" vertical="center"/>
    </xf>
    <xf numFmtId="178" fontId="24" fillId="6" borderId="11" xfId="6" applyNumberFormat="1" applyFont="1" applyFill="1" applyBorder="1" applyAlignment="1">
      <alignment horizontal="left" vertical="center"/>
    </xf>
    <xf numFmtId="178" fontId="24" fillId="0" borderId="0" xfId="8" applyNumberFormat="1" applyFont="1" applyAlignment="1">
      <alignment horizontal="center" vertical="center"/>
    </xf>
    <xf numFmtId="178" fontId="12" fillId="0" borderId="0" xfId="8" applyNumberFormat="1" applyFont="1" applyFill="1" applyAlignment="1">
      <alignment vertical="center" wrapText="1"/>
    </xf>
    <xf numFmtId="178" fontId="12" fillId="0" borderId="0" xfId="8" applyNumberFormat="1" applyFont="1" applyFill="1" applyAlignment="1">
      <alignment vertical="center"/>
    </xf>
    <xf numFmtId="177" fontId="9" fillId="0" borderId="0" xfId="8" applyFont="1"/>
    <xf numFmtId="177" fontId="21" fillId="5" borderId="14" xfId="6" applyNumberFormat="1" applyFont="1" applyFill="1" applyBorder="1" applyAlignment="1">
      <alignment horizontal="center" vertical="center"/>
    </xf>
    <xf numFmtId="177" fontId="21" fillId="5" borderId="1" xfId="6" applyNumberFormat="1" applyFont="1" applyFill="1" applyBorder="1" applyAlignment="1">
      <alignment horizontal="center" vertical="center"/>
    </xf>
    <xf numFmtId="177" fontId="21" fillId="5" borderId="1" xfId="6" applyNumberFormat="1" applyFont="1" applyFill="1" applyBorder="1" applyAlignment="1">
      <alignment horizontal="center" vertical="center" wrapText="1"/>
    </xf>
    <xf numFmtId="177" fontId="21" fillId="5" borderId="15" xfId="6" applyNumberFormat="1" applyFont="1" applyFill="1" applyBorder="1" applyAlignment="1">
      <alignment horizontal="center" vertical="center"/>
    </xf>
    <xf numFmtId="177" fontId="21" fillId="5" borderId="16" xfId="6" applyNumberFormat="1" applyFont="1" applyFill="1" applyBorder="1" applyAlignment="1">
      <alignment horizontal="center" vertical="center"/>
    </xf>
    <xf numFmtId="177" fontId="27" fillId="0" borderId="14" xfId="7" applyNumberFormat="1" applyFont="1" applyFill="1" applyBorder="1" applyAlignment="1">
      <alignment horizontal="center" vertical="center" wrapText="1"/>
    </xf>
    <xf numFmtId="177" fontId="27" fillId="0" borderId="1" xfId="7" applyNumberFormat="1" applyFont="1" applyFill="1" applyBorder="1" applyAlignment="1">
      <alignment horizontal="center" vertical="center" wrapText="1"/>
    </xf>
    <xf numFmtId="176" fontId="27" fillId="0" borderId="1" xfId="7" applyNumberFormat="1" applyFont="1" applyFill="1" applyBorder="1" applyAlignment="1">
      <alignment vertical="center" wrapText="1"/>
    </xf>
    <xf numFmtId="177" fontId="27" fillId="0" borderId="1" xfId="7" applyNumberFormat="1" applyFont="1" applyFill="1" applyBorder="1" applyAlignment="1">
      <alignment horizontal="left" vertical="center" wrapText="1"/>
    </xf>
    <xf numFmtId="176" fontId="27" fillId="0" borderId="16" xfId="7" applyNumberFormat="1" applyFont="1" applyFill="1" applyBorder="1" applyAlignment="1">
      <alignment vertical="center" wrapText="1"/>
    </xf>
    <xf numFmtId="177" fontId="10" fillId="0" borderId="14" xfId="7" applyNumberFormat="1" applyFont="1" applyFill="1" applyBorder="1" applyAlignment="1">
      <alignment horizontal="center" vertical="center"/>
    </xf>
    <xf numFmtId="176" fontId="11" fillId="0" borderId="1" xfId="7" applyNumberFormat="1" applyFont="1" applyFill="1" applyBorder="1" applyAlignment="1">
      <alignment vertical="center"/>
    </xf>
    <xf numFmtId="176" fontId="11" fillId="7" borderId="1" xfId="7" applyNumberFormat="1" applyFont="1" applyFill="1" applyBorder="1" applyAlignment="1">
      <alignment vertical="center"/>
    </xf>
    <xf numFmtId="9" fontId="11" fillId="0" borderId="1" xfId="9" applyFont="1" applyFill="1" applyBorder="1" applyAlignment="1">
      <alignment vertical="center"/>
    </xf>
    <xf numFmtId="176" fontId="11" fillId="8" borderId="1" xfId="7" applyNumberFormat="1" applyFont="1" applyFill="1" applyBorder="1" applyAlignment="1">
      <alignment vertical="center"/>
    </xf>
    <xf numFmtId="176" fontId="11" fillId="7" borderId="16" xfId="7" applyNumberFormat="1" applyFont="1" applyFill="1" applyBorder="1" applyAlignment="1">
      <alignment vertical="center"/>
    </xf>
    <xf numFmtId="177" fontId="10" fillId="0" borderId="17" xfId="7" applyNumberFormat="1" applyFont="1" applyFill="1" applyBorder="1" applyAlignment="1">
      <alignment horizontal="center" vertical="center"/>
    </xf>
    <xf numFmtId="176" fontId="11" fillId="0" borderId="10" xfId="7" applyNumberFormat="1" applyFont="1" applyBorder="1" applyAlignment="1">
      <alignment vertical="center"/>
    </xf>
    <xf numFmtId="176" fontId="11" fillId="7" borderId="10" xfId="7" applyNumberFormat="1" applyFont="1" applyFill="1" applyBorder="1" applyAlignment="1">
      <alignment vertical="center"/>
    </xf>
    <xf numFmtId="176" fontId="11" fillId="0" borderId="10" xfId="7" applyNumberFormat="1" applyFont="1" applyFill="1" applyBorder="1" applyAlignment="1">
      <alignment vertical="center"/>
    </xf>
    <xf numFmtId="176" fontId="11" fillId="7" borderId="11" xfId="7" applyNumberFormat="1" applyFont="1" applyFill="1" applyBorder="1" applyAlignment="1">
      <alignment vertical="center"/>
    </xf>
    <xf numFmtId="0" fontId="28" fillId="0" borderId="0" xfId="10" applyFont="1" applyBorder="1" applyAlignment="1">
      <alignment horizontal="center" vertical="center" wrapText="1"/>
    </xf>
    <xf numFmtId="0" fontId="1" fillId="0" borderId="0" xfId="5" applyBorder="1"/>
    <xf numFmtId="0" fontId="1" fillId="0" borderId="0" xfId="5" applyBorder="1" applyAlignment="1">
      <alignment wrapText="1"/>
    </xf>
    <xf numFmtId="0" fontId="22" fillId="0" borderId="1" xfId="10" applyFont="1" applyFill="1" applyBorder="1" applyAlignment="1">
      <alignment horizontal="center" vertical="center"/>
    </xf>
    <xf numFmtId="0" fontId="29" fillId="0" borderId="1" xfId="10" applyFont="1" applyFill="1" applyBorder="1" applyAlignment="1">
      <alignment horizontal="center" vertical="center"/>
    </xf>
    <xf numFmtId="0" fontId="21" fillId="0" borderId="1" xfId="10" applyFont="1" applyBorder="1" applyAlignment="1">
      <alignment horizontal="center" vertical="center"/>
    </xf>
    <xf numFmtId="0" fontId="28" fillId="0" borderId="1" xfId="1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/>
    </xf>
    <xf numFmtId="0" fontId="31" fillId="0" borderId="19" xfId="0" applyFont="1" applyFill="1" applyBorder="1" applyAlignment="1">
      <alignment horizontal="center" vertical="center"/>
    </xf>
    <xf numFmtId="0" fontId="31" fillId="0" borderId="19" xfId="0" applyFont="1" applyFill="1" applyBorder="1" applyAlignment="1">
      <alignment vertical="center"/>
    </xf>
    <xf numFmtId="14" fontId="31" fillId="0" borderId="19" xfId="0" applyNumberFormat="1" applyFont="1" applyFill="1" applyBorder="1" applyAlignment="1">
      <alignment horizontal="center" vertical="center"/>
    </xf>
    <xf numFmtId="0" fontId="31" fillId="0" borderId="19" xfId="0" applyFont="1" applyBorder="1" applyAlignment="1">
      <alignment vertical="center"/>
    </xf>
    <xf numFmtId="14" fontId="31" fillId="0" borderId="19" xfId="0" applyNumberFormat="1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4" fillId="2" borderId="5" xfId="5" applyFont="1" applyFill="1" applyBorder="1" applyAlignment="1">
      <alignment horizontal="center" vertical="center"/>
    </xf>
    <xf numFmtId="0" fontId="14" fillId="2" borderId="6" xfId="5" applyFont="1" applyFill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 wrapText="1"/>
    </xf>
    <xf numFmtId="0" fontId="18" fillId="0" borderId="1" xfId="6" applyFont="1" applyBorder="1" applyAlignment="1">
      <alignment horizontal="center" vertical="center" wrapText="1"/>
    </xf>
    <xf numFmtId="0" fontId="28" fillId="0" borderId="1" xfId="10" applyFont="1" applyBorder="1" applyAlignment="1">
      <alignment horizontal="center" vertical="center" wrapText="1"/>
    </xf>
    <xf numFmtId="0" fontId="1" fillId="0" borderId="15" xfId="5" applyBorder="1" applyAlignment="1">
      <alignment horizontal="center" wrapText="1"/>
    </xf>
    <xf numFmtId="0" fontId="1" fillId="0" borderId="18" xfId="5" applyBorder="1" applyAlignment="1">
      <alignment horizontal="center" wrapText="1"/>
    </xf>
    <xf numFmtId="0" fontId="9" fillId="0" borderId="2" xfId="5" applyFont="1" applyBorder="1" applyAlignment="1">
      <alignment horizontal="center" vertical="center"/>
    </xf>
    <xf numFmtId="0" fontId="9" fillId="0" borderId="3" xfId="5" applyFont="1" applyBorder="1" applyAlignment="1">
      <alignment horizontal="center" vertical="center"/>
    </xf>
    <xf numFmtId="0" fontId="9" fillId="0" borderId="4" xfId="5" applyFont="1" applyBorder="1" applyAlignment="1">
      <alignment horizontal="center" vertical="center"/>
    </xf>
    <xf numFmtId="178" fontId="24" fillId="6" borderId="1" xfId="6" applyNumberFormat="1" applyFont="1" applyFill="1" applyBorder="1" applyAlignment="1">
      <alignment horizontal="center" vertical="center"/>
    </xf>
    <xf numFmtId="177" fontId="21" fillId="5" borderId="12" xfId="8" applyNumberFormat="1" applyFont="1" applyFill="1" applyBorder="1" applyAlignment="1">
      <alignment horizontal="center" vertical="center"/>
    </xf>
    <xf numFmtId="177" fontId="21" fillId="5" borderId="13" xfId="8" applyNumberFormat="1" applyFont="1" applyFill="1" applyBorder="1" applyAlignment="1">
      <alignment horizontal="center" vertical="center"/>
    </xf>
    <xf numFmtId="177" fontId="21" fillId="5" borderId="15" xfId="6" applyNumberFormat="1" applyFont="1" applyFill="1" applyBorder="1" applyAlignment="1">
      <alignment horizontal="center" vertical="center"/>
    </xf>
    <xf numFmtId="177" fontId="21" fillId="5" borderId="18" xfId="6" applyNumberFormat="1" applyFont="1" applyFill="1" applyBorder="1" applyAlignment="1">
      <alignment horizontal="center" vertical="center"/>
    </xf>
    <xf numFmtId="0" fontId="22" fillId="0" borderId="1" xfId="10" applyFont="1" applyFill="1" applyBorder="1" applyAlignment="1">
      <alignment horizontal="center" vertical="center"/>
    </xf>
    <xf numFmtId="0" fontId="1" fillId="0" borderId="1" xfId="5" applyBorder="1" applyAlignment="1">
      <alignment horizontal="center"/>
    </xf>
    <xf numFmtId="0" fontId="1" fillId="0" borderId="15" xfId="5" applyBorder="1" applyAlignment="1">
      <alignment horizontal="center"/>
    </xf>
    <xf numFmtId="0" fontId="1" fillId="0" borderId="18" xfId="5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1">
    <cellStyle name="百分比 2" xfId="1" xr:uid="{00000000-0005-0000-0000-000031000000}"/>
    <cellStyle name="百分比 3" xfId="9" xr:uid="{E55E40C2-63C9-4F1C-8142-264E72AEC299}"/>
    <cellStyle name="常规" xfId="0" builtinId="0"/>
    <cellStyle name="常规 2" xfId="2" xr:uid="{00000000-0005-0000-0000-000032000000}"/>
    <cellStyle name="常规 2 5" xfId="10" xr:uid="{1EEA34A6-CB59-4C3B-8EE5-5B8553D829FD}"/>
    <cellStyle name="常规 3" xfId="4" xr:uid="{00000000-0005-0000-0000-000034000000}"/>
    <cellStyle name="常规 3 2" xfId="6" xr:uid="{164CC594-2A35-40E7-93EC-30BFEA0B072C}"/>
    <cellStyle name="常规 4" xfId="5" xr:uid="{D1D4CFA7-5242-49CD-9BFC-52CB80D06E00}"/>
    <cellStyle name="常规 9" xfId="8" xr:uid="{42E997A5-0967-43AE-8BAE-4209365010F2}"/>
    <cellStyle name="千位分隔 2" xfId="3" xr:uid="{00000000-0005-0000-0000-000033000000}"/>
    <cellStyle name="千位分隔 3" xfId="7" xr:uid="{7E6E7AFD-8E5A-4971-8E7B-36B7011F45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E020-99C1-42E1-B65A-45E619B55D50}">
  <dimension ref="A1:C6"/>
  <sheetViews>
    <sheetView tabSelected="1" workbookViewId="0">
      <selection activeCell="I15" sqref="I15"/>
    </sheetView>
  </sheetViews>
  <sheetFormatPr defaultRowHeight="13.9" x14ac:dyDescent="0.4"/>
  <cols>
    <col min="2" max="2" width="27.19921875" customWidth="1"/>
    <col min="3" max="3" width="23.33203125" customWidth="1"/>
  </cols>
  <sheetData>
    <row r="1" spans="1:3" ht="15" thickBot="1" x14ac:dyDescent="0.45">
      <c r="A1" s="90" t="s">
        <v>139</v>
      </c>
      <c r="B1" s="90" t="s">
        <v>140</v>
      </c>
      <c r="C1" s="90" t="s">
        <v>141</v>
      </c>
    </row>
    <row r="2" spans="1:3" ht="14.25" thickBot="1" x14ac:dyDescent="0.45">
      <c r="A2" s="91">
        <v>1</v>
      </c>
      <c r="B2" s="92" t="s">
        <v>142</v>
      </c>
      <c r="C2" s="93">
        <v>46258</v>
      </c>
    </row>
    <row r="3" spans="1:3" ht="14.25" thickBot="1" x14ac:dyDescent="0.45">
      <c r="A3" s="91">
        <v>2</v>
      </c>
      <c r="B3" s="94" t="s">
        <v>145</v>
      </c>
      <c r="C3" s="95">
        <v>46279</v>
      </c>
    </row>
    <row r="4" spans="1:3" ht="14.25" thickBot="1" x14ac:dyDescent="0.45">
      <c r="A4" s="97" t="s">
        <v>143</v>
      </c>
      <c r="B4" s="98"/>
      <c r="C4" s="98"/>
    </row>
    <row r="5" spans="1:3" ht="14.25" thickBot="1" x14ac:dyDescent="0.45">
      <c r="A5" s="96">
        <v>3</v>
      </c>
      <c r="B5" s="94" t="s">
        <v>144</v>
      </c>
      <c r="C5" s="95">
        <v>46303</v>
      </c>
    </row>
    <row r="6" spans="1:3" ht="14.25" thickBot="1" x14ac:dyDescent="0.45">
      <c r="A6" s="96">
        <v>5</v>
      </c>
      <c r="B6" s="94" t="s">
        <v>146</v>
      </c>
      <c r="C6" s="95">
        <v>46320</v>
      </c>
    </row>
  </sheetData>
  <mergeCells count="1">
    <mergeCell ref="A4:C4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"/>
  <sheetViews>
    <sheetView showGridLines="0" zoomScale="85" zoomScaleNormal="85" workbookViewId="0">
      <selection activeCell="F9" sqref="F9"/>
    </sheetView>
  </sheetViews>
  <sheetFormatPr defaultColWidth="8.6640625" defaultRowHeight="15.75" x14ac:dyDescent="0.55000000000000004"/>
  <cols>
    <col min="1" max="1" width="1.33203125" style="2" customWidth="1"/>
    <col min="2" max="2" width="18.19921875" style="2" customWidth="1"/>
    <col min="3" max="3" width="17.265625" style="2" customWidth="1"/>
    <col min="4" max="4" width="16.1328125" style="3" customWidth="1"/>
    <col min="5" max="5" width="79.53125" style="2" customWidth="1"/>
    <col min="6" max="6" width="20.33203125" style="2" customWidth="1"/>
    <col min="7" max="16384" width="8.6640625" style="2"/>
  </cols>
  <sheetData>
    <row r="1" spans="2:7" ht="6.5" customHeight="1" x14ac:dyDescent="0.55000000000000004"/>
    <row r="2" spans="2:7" ht="32.65" customHeight="1" x14ac:dyDescent="0.55000000000000004">
      <c r="B2" s="99" t="s">
        <v>0</v>
      </c>
      <c r="C2" s="99"/>
      <c r="D2" s="4" t="s">
        <v>1</v>
      </c>
      <c r="E2" s="4" t="s">
        <v>2</v>
      </c>
      <c r="F2" s="9" t="s">
        <v>151</v>
      </c>
    </row>
    <row r="3" spans="2:7" s="1" customFormat="1" ht="82.15" customHeight="1" x14ac:dyDescent="0.4">
      <c r="B3" s="5" t="s">
        <v>3</v>
      </c>
      <c r="C3" s="6" t="s">
        <v>4</v>
      </c>
      <c r="D3" s="7" t="s">
        <v>5</v>
      </c>
      <c r="E3" s="120" t="s">
        <v>148</v>
      </c>
      <c r="F3" s="8"/>
    </row>
    <row r="4" spans="2:7" s="1" customFormat="1" ht="154.15" customHeight="1" x14ac:dyDescent="0.4">
      <c r="B4" s="5" t="s">
        <v>6</v>
      </c>
      <c r="C4" s="8" t="s">
        <v>7</v>
      </c>
      <c r="D4" s="5" t="s">
        <v>5</v>
      </c>
      <c r="E4" s="121" t="s">
        <v>149</v>
      </c>
      <c r="F4" s="8"/>
    </row>
    <row r="5" spans="2:7" s="1" customFormat="1" ht="73.05" customHeight="1" x14ac:dyDescent="0.4">
      <c r="B5" s="89" t="s">
        <v>8</v>
      </c>
      <c r="C5" s="8" t="s">
        <v>152</v>
      </c>
      <c r="D5" s="5" t="s">
        <v>5</v>
      </c>
      <c r="E5" s="121" t="s">
        <v>150</v>
      </c>
      <c r="F5" s="8"/>
    </row>
    <row r="6" spans="2:7" x14ac:dyDescent="0.55000000000000004">
      <c r="B6" s="10" t="s">
        <v>9</v>
      </c>
      <c r="C6" s="10"/>
      <c r="D6" s="10"/>
      <c r="E6" s="10"/>
      <c r="F6" s="10"/>
      <c r="G6" s="10"/>
    </row>
    <row r="7" spans="2:7" x14ac:dyDescent="0.55000000000000004">
      <c r="B7" s="10"/>
      <c r="C7" s="10"/>
      <c r="D7" s="10"/>
      <c r="E7" s="10"/>
      <c r="F7" s="10"/>
      <c r="G7" s="10"/>
    </row>
    <row r="8" spans="2:7" x14ac:dyDescent="0.55000000000000004">
      <c r="B8" s="10"/>
      <c r="C8" s="10"/>
      <c r="D8" s="10"/>
      <c r="E8" s="10"/>
      <c r="F8" s="10"/>
      <c r="G8" s="10"/>
    </row>
    <row r="9" spans="2:7" x14ac:dyDescent="0.55000000000000004">
      <c r="B9" s="10"/>
      <c r="C9" s="10"/>
      <c r="D9" s="10"/>
      <c r="E9" s="10"/>
      <c r="F9" s="10"/>
      <c r="G9" s="10"/>
    </row>
    <row r="10" spans="2:7" x14ac:dyDescent="0.55000000000000004">
      <c r="B10" s="10"/>
      <c r="C10" s="10"/>
      <c r="D10" s="10"/>
      <c r="E10" s="10"/>
      <c r="F10" s="10"/>
      <c r="G10" s="10"/>
    </row>
  </sheetData>
  <mergeCells count="1">
    <mergeCell ref="B2:C2"/>
  </mergeCells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D061-1364-4B85-8837-961173908004}">
  <dimension ref="B1:J83"/>
  <sheetViews>
    <sheetView showGridLines="0" topLeftCell="A70" zoomScale="85" zoomScaleNormal="85" workbookViewId="0">
      <selection activeCell="L55" sqref="L55"/>
    </sheetView>
  </sheetViews>
  <sheetFormatPr defaultRowHeight="13.9" x14ac:dyDescent="0.4"/>
  <cols>
    <col min="1" max="1" width="9.06640625" style="11"/>
    <col min="2" max="2" width="18.9296875" style="11" customWidth="1"/>
    <col min="3" max="3" width="19.6640625" style="11" customWidth="1"/>
    <col min="4" max="4" width="35.796875" style="27" customWidth="1"/>
    <col min="5" max="5" width="26.265625" style="27" customWidth="1"/>
    <col min="6" max="6" width="14.3984375" style="11" customWidth="1"/>
    <col min="7" max="7" width="15.796875" style="11" customWidth="1"/>
    <col min="8" max="8" width="19.33203125" style="11" customWidth="1"/>
    <col min="9" max="9" width="17" style="11" customWidth="1"/>
    <col min="10" max="10" width="27.46484375" style="11" customWidth="1"/>
    <col min="11" max="16384" width="9.06640625" style="11"/>
  </cols>
  <sheetData>
    <row r="1" spans="2:10" ht="15.75" x14ac:dyDescent="0.4">
      <c r="B1" s="100" t="s">
        <v>10</v>
      </c>
      <c r="C1" s="101"/>
      <c r="D1" s="101"/>
      <c r="E1" s="101"/>
      <c r="F1" s="101"/>
      <c r="G1" s="101"/>
      <c r="H1" s="101"/>
      <c r="I1" s="101"/>
      <c r="J1" s="101"/>
    </row>
    <row r="2" spans="2:10" ht="15.75" x14ac:dyDescent="0.4">
      <c r="B2" s="12" t="s">
        <v>11</v>
      </c>
      <c r="C2" s="12" t="s">
        <v>12</v>
      </c>
      <c r="D2" s="13" t="s">
        <v>13</v>
      </c>
      <c r="E2" s="13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</row>
    <row r="3" spans="2:10" ht="15" x14ac:dyDescent="0.5">
      <c r="B3" s="14">
        <v>1</v>
      </c>
      <c r="C3" s="15" t="s">
        <v>20</v>
      </c>
      <c r="D3" s="15" t="s">
        <v>20</v>
      </c>
      <c r="E3" s="16" t="s">
        <v>21</v>
      </c>
      <c r="F3" s="14" t="s">
        <v>22</v>
      </c>
      <c r="G3" s="14"/>
      <c r="H3" s="17"/>
      <c r="I3" s="17"/>
      <c r="J3" s="18" t="s">
        <v>23</v>
      </c>
    </row>
    <row r="4" spans="2:10" ht="30" x14ac:dyDescent="0.5">
      <c r="B4" s="102">
        <v>2</v>
      </c>
      <c r="C4" s="102" t="s">
        <v>24</v>
      </c>
      <c r="D4" s="15" t="s">
        <v>25</v>
      </c>
      <c r="E4" s="15" t="s">
        <v>26</v>
      </c>
      <c r="F4" s="19" t="s">
        <v>27</v>
      </c>
      <c r="G4" s="19"/>
      <c r="H4" s="19"/>
      <c r="I4" s="19"/>
      <c r="J4" s="18"/>
    </row>
    <row r="5" spans="2:10" ht="30" x14ac:dyDescent="0.5">
      <c r="B5" s="102"/>
      <c r="C5" s="102"/>
      <c r="D5" s="15" t="s">
        <v>28</v>
      </c>
      <c r="E5" s="15" t="s">
        <v>29</v>
      </c>
      <c r="F5" s="19" t="s">
        <v>27</v>
      </c>
      <c r="G5" s="19"/>
      <c r="H5" s="19"/>
      <c r="I5" s="19"/>
      <c r="J5" s="18"/>
    </row>
    <row r="6" spans="2:10" ht="15" x14ac:dyDescent="0.5">
      <c r="B6" s="102"/>
      <c r="C6" s="102"/>
      <c r="D6" s="103" t="s">
        <v>30</v>
      </c>
      <c r="E6" s="20" t="s">
        <v>31</v>
      </c>
      <c r="F6" s="19" t="s">
        <v>27</v>
      </c>
      <c r="G6" s="19"/>
      <c r="H6" s="19"/>
      <c r="I6" s="19"/>
      <c r="J6" s="18"/>
    </row>
    <row r="7" spans="2:10" ht="15" x14ac:dyDescent="0.5">
      <c r="B7" s="102"/>
      <c r="C7" s="102"/>
      <c r="D7" s="103"/>
      <c r="E7" s="20" t="s">
        <v>32</v>
      </c>
      <c r="F7" s="19" t="s">
        <v>27</v>
      </c>
      <c r="G7" s="19"/>
      <c r="H7" s="19"/>
      <c r="I7" s="19"/>
      <c r="J7" s="18"/>
    </row>
    <row r="8" spans="2:10" ht="15" x14ac:dyDescent="0.5">
      <c r="B8" s="102"/>
      <c r="C8" s="102"/>
      <c r="D8" s="103"/>
      <c r="E8" s="20" t="s">
        <v>33</v>
      </c>
      <c r="F8" s="19" t="s">
        <v>27</v>
      </c>
      <c r="G8" s="19"/>
      <c r="H8" s="19"/>
      <c r="I8" s="19"/>
      <c r="J8" s="18"/>
    </row>
    <row r="9" spans="2:10" ht="15" x14ac:dyDescent="0.5">
      <c r="B9" s="102"/>
      <c r="C9" s="102"/>
      <c r="D9" s="104" t="s">
        <v>34</v>
      </c>
      <c r="E9" s="20" t="s">
        <v>35</v>
      </c>
      <c r="F9" s="19" t="s">
        <v>27</v>
      </c>
      <c r="G9" s="19"/>
      <c r="H9" s="19"/>
      <c r="I9" s="19"/>
      <c r="J9" s="18"/>
    </row>
    <row r="10" spans="2:10" ht="15" x14ac:dyDescent="0.5">
      <c r="B10" s="102"/>
      <c r="C10" s="102"/>
      <c r="D10" s="104"/>
      <c r="E10" s="20" t="s">
        <v>36</v>
      </c>
      <c r="F10" s="19" t="s">
        <v>27</v>
      </c>
      <c r="G10" s="19"/>
      <c r="H10" s="19"/>
      <c r="I10" s="19"/>
      <c r="J10" s="18"/>
    </row>
    <row r="11" spans="2:10" ht="15" x14ac:dyDescent="0.5">
      <c r="B11" s="102"/>
      <c r="C11" s="102"/>
      <c r="D11" s="104"/>
      <c r="E11" s="20" t="s">
        <v>37</v>
      </c>
      <c r="F11" s="19" t="s">
        <v>27</v>
      </c>
      <c r="G11" s="19"/>
      <c r="H11" s="19"/>
      <c r="I11" s="19"/>
      <c r="J11" s="18"/>
    </row>
    <row r="12" spans="2:10" ht="15" x14ac:dyDescent="0.5">
      <c r="B12" s="102"/>
      <c r="C12" s="102"/>
      <c r="D12" s="104"/>
      <c r="E12" s="20" t="s">
        <v>38</v>
      </c>
      <c r="F12" s="19" t="s">
        <v>27</v>
      </c>
      <c r="G12" s="19"/>
      <c r="H12" s="19"/>
      <c r="I12" s="19"/>
      <c r="J12" s="18"/>
    </row>
    <row r="13" spans="2:10" ht="15" x14ac:dyDescent="0.5">
      <c r="B13" s="102"/>
      <c r="C13" s="102"/>
      <c r="D13" s="103" t="s">
        <v>39</v>
      </c>
      <c r="E13" s="21" t="s">
        <v>40</v>
      </c>
      <c r="F13" s="19" t="s">
        <v>27</v>
      </c>
      <c r="G13" s="19"/>
      <c r="H13" s="19"/>
      <c r="I13" s="19"/>
      <c r="J13" s="18"/>
    </row>
    <row r="14" spans="2:10" ht="15" x14ac:dyDescent="0.5">
      <c r="B14" s="102"/>
      <c r="C14" s="102"/>
      <c r="D14" s="103"/>
      <c r="E14" s="21" t="s">
        <v>41</v>
      </c>
      <c r="F14" s="19" t="s">
        <v>27</v>
      </c>
      <c r="G14" s="19"/>
      <c r="H14" s="19"/>
      <c r="I14" s="19"/>
      <c r="J14" s="18"/>
    </row>
    <row r="15" spans="2:10" ht="15" x14ac:dyDescent="0.5">
      <c r="B15" s="102"/>
      <c r="C15" s="102"/>
      <c r="D15" s="103"/>
      <c r="E15" s="21" t="s">
        <v>42</v>
      </c>
      <c r="F15" s="19" t="s">
        <v>27</v>
      </c>
      <c r="G15" s="19"/>
      <c r="H15" s="19"/>
      <c r="I15" s="19"/>
      <c r="J15" s="18"/>
    </row>
    <row r="16" spans="2:10" ht="15" x14ac:dyDescent="0.5">
      <c r="B16" s="102"/>
      <c r="C16" s="102"/>
      <c r="D16" s="103"/>
      <c r="E16" s="21" t="s">
        <v>43</v>
      </c>
      <c r="F16" s="19" t="s">
        <v>27</v>
      </c>
      <c r="G16" s="19"/>
      <c r="H16" s="19"/>
      <c r="I16" s="19"/>
      <c r="J16" s="18"/>
    </row>
    <row r="17" spans="2:10" ht="15" x14ac:dyDescent="0.5">
      <c r="B17" s="102"/>
      <c r="C17" s="102"/>
      <c r="D17" s="103"/>
      <c r="E17" s="21" t="s">
        <v>44</v>
      </c>
      <c r="F17" s="19" t="s">
        <v>27</v>
      </c>
      <c r="G17" s="19"/>
      <c r="H17" s="19"/>
      <c r="I17" s="19"/>
      <c r="J17" s="18"/>
    </row>
    <row r="18" spans="2:10" ht="15" x14ac:dyDescent="0.5">
      <c r="B18" s="102"/>
      <c r="C18" s="102"/>
      <c r="D18" s="103"/>
      <c r="E18" s="21" t="s">
        <v>45</v>
      </c>
      <c r="F18" s="19" t="s">
        <v>27</v>
      </c>
      <c r="G18" s="19"/>
      <c r="H18" s="19"/>
      <c r="I18" s="19"/>
      <c r="J18" s="18"/>
    </row>
    <row r="19" spans="2:10" ht="30" x14ac:dyDescent="0.5">
      <c r="B19" s="102"/>
      <c r="C19" s="102"/>
      <c r="D19" s="22" t="s">
        <v>46</v>
      </c>
      <c r="E19" s="15" t="s">
        <v>47</v>
      </c>
      <c r="F19" s="14" t="s">
        <v>27</v>
      </c>
      <c r="G19" s="14"/>
      <c r="H19" s="19"/>
      <c r="I19" s="19"/>
      <c r="J19" s="18"/>
    </row>
    <row r="20" spans="2:10" ht="15" x14ac:dyDescent="0.5">
      <c r="B20" s="102">
        <v>3</v>
      </c>
      <c r="C20" s="102" t="s">
        <v>48</v>
      </c>
      <c r="D20" s="15" t="s">
        <v>49</v>
      </c>
      <c r="E20" s="16" t="s">
        <v>21</v>
      </c>
      <c r="F20" s="14" t="s">
        <v>22</v>
      </c>
      <c r="G20" s="14"/>
      <c r="H20" s="19"/>
      <c r="I20" s="19"/>
      <c r="J20" s="18"/>
    </row>
    <row r="21" spans="2:10" ht="15" x14ac:dyDescent="0.5">
      <c r="B21" s="102"/>
      <c r="C21" s="102"/>
      <c r="D21" s="15" t="s">
        <v>50</v>
      </c>
      <c r="E21" s="16" t="s">
        <v>21</v>
      </c>
      <c r="F21" s="14" t="s">
        <v>22</v>
      </c>
      <c r="G21" s="14"/>
      <c r="H21" s="19"/>
      <c r="I21" s="19"/>
      <c r="J21" s="18"/>
    </row>
    <row r="22" spans="2:10" ht="15" x14ac:dyDescent="0.5">
      <c r="B22" s="102"/>
      <c r="C22" s="102"/>
      <c r="D22" s="15" t="s">
        <v>51</v>
      </c>
      <c r="E22" s="16" t="s">
        <v>21</v>
      </c>
      <c r="F22" s="14" t="s">
        <v>22</v>
      </c>
      <c r="G22" s="14"/>
      <c r="H22" s="19"/>
      <c r="I22" s="19"/>
      <c r="J22" s="18"/>
    </row>
    <row r="23" spans="2:10" ht="15" x14ac:dyDescent="0.5">
      <c r="B23" s="102"/>
      <c r="C23" s="102"/>
      <c r="D23" s="15" t="s">
        <v>52</v>
      </c>
      <c r="E23" s="16" t="s">
        <v>53</v>
      </c>
      <c r="F23" s="14" t="s">
        <v>22</v>
      </c>
      <c r="G23" s="14"/>
      <c r="H23" s="19"/>
      <c r="I23" s="19"/>
      <c r="J23" s="18"/>
    </row>
    <row r="24" spans="2:10" ht="15" x14ac:dyDescent="0.5">
      <c r="B24" s="108">
        <v>4</v>
      </c>
      <c r="C24" s="108" t="s">
        <v>54</v>
      </c>
      <c r="D24" s="15" t="s">
        <v>55</v>
      </c>
      <c r="E24" s="15" t="s">
        <v>56</v>
      </c>
      <c r="F24" s="14" t="s">
        <v>56</v>
      </c>
      <c r="G24" s="14"/>
      <c r="H24" s="19"/>
      <c r="I24" s="19"/>
      <c r="J24" s="18"/>
    </row>
    <row r="25" spans="2:10" ht="15" x14ac:dyDescent="0.5">
      <c r="B25" s="109"/>
      <c r="C25" s="109"/>
      <c r="D25" s="15" t="s">
        <v>57</v>
      </c>
      <c r="E25" s="15" t="s">
        <v>56</v>
      </c>
      <c r="F25" s="14" t="s">
        <v>56</v>
      </c>
      <c r="G25" s="14"/>
      <c r="H25" s="19"/>
      <c r="I25" s="19"/>
      <c r="J25" s="18"/>
    </row>
    <row r="26" spans="2:10" ht="15" x14ac:dyDescent="0.5">
      <c r="B26" s="110"/>
      <c r="C26" s="110"/>
      <c r="D26" s="15" t="s">
        <v>58</v>
      </c>
      <c r="E26" s="15" t="s">
        <v>59</v>
      </c>
      <c r="F26" s="14" t="s">
        <v>56</v>
      </c>
      <c r="G26" s="14"/>
      <c r="H26" s="19"/>
      <c r="I26" s="19"/>
      <c r="J26" s="18"/>
    </row>
    <row r="27" spans="2:10" ht="15" x14ac:dyDescent="0.5">
      <c r="B27" s="14">
        <v>5</v>
      </c>
      <c r="C27" s="14" t="s">
        <v>60</v>
      </c>
      <c r="D27" s="15" t="s">
        <v>61</v>
      </c>
      <c r="E27" s="15" t="s">
        <v>62</v>
      </c>
      <c r="F27" s="14" t="s">
        <v>22</v>
      </c>
      <c r="G27" s="14"/>
      <c r="H27" s="19"/>
      <c r="I27" s="19"/>
      <c r="J27" s="18"/>
    </row>
    <row r="28" spans="2:10" ht="15" x14ac:dyDescent="0.5">
      <c r="B28" s="14">
        <v>6</v>
      </c>
      <c r="C28" s="14" t="s">
        <v>63</v>
      </c>
      <c r="D28" s="15" t="s">
        <v>64</v>
      </c>
      <c r="E28" s="15"/>
      <c r="F28" s="14" t="s">
        <v>22</v>
      </c>
      <c r="G28" s="14"/>
      <c r="H28" s="19"/>
      <c r="I28" s="19"/>
      <c r="J28" s="18"/>
    </row>
    <row r="29" spans="2:10" ht="15" x14ac:dyDescent="0.5">
      <c r="B29" s="14">
        <v>7</v>
      </c>
      <c r="C29" s="19" t="s">
        <v>65</v>
      </c>
      <c r="D29" s="16" t="s">
        <v>66</v>
      </c>
      <c r="E29" s="16"/>
      <c r="F29" s="14" t="s">
        <v>22</v>
      </c>
      <c r="G29" s="14"/>
      <c r="H29" s="19"/>
      <c r="I29" s="19"/>
      <c r="J29" s="18"/>
    </row>
    <row r="30" spans="2:10" ht="15" x14ac:dyDescent="0.5">
      <c r="B30" s="14">
        <v>8</v>
      </c>
      <c r="C30" s="19" t="s">
        <v>67</v>
      </c>
      <c r="D30" s="16"/>
      <c r="E30" s="16"/>
      <c r="F30" s="14" t="s">
        <v>22</v>
      </c>
      <c r="G30" s="14"/>
      <c r="H30" s="19"/>
      <c r="I30" s="19"/>
      <c r="J30" s="18"/>
    </row>
    <row r="31" spans="2:10" ht="15.75" x14ac:dyDescent="0.55000000000000004">
      <c r="B31" s="23"/>
      <c r="C31" s="23"/>
      <c r="D31" s="24"/>
      <c r="E31" s="24"/>
      <c r="F31" s="23"/>
      <c r="G31" s="23"/>
      <c r="H31" s="25" t="s">
        <v>68</v>
      </c>
      <c r="I31" s="25"/>
    </row>
    <row r="32" spans="2:10" ht="15.75" x14ac:dyDescent="0.55000000000000004">
      <c r="B32" s="23"/>
      <c r="C32" s="23"/>
      <c r="D32" s="24"/>
      <c r="E32" s="24"/>
      <c r="F32" s="23"/>
      <c r="G32" s="23"/>
      <c r="H32" s="25" t="s">
        <v>69</v>
      </c>
      <c r="I32" s="25"/>
    </row>
    <row r="33" spans="2:10" ht="15.75" x14ac:dyDescent="0.55000000000000004">
      <c r="B33" s="23"/>
      <c r="C33" s="23"/>
      <c r="D33" s="24"/>
      <c r="E33" s="24"/>
      <c r="F33" s="23"/>
      <c r="G33" s="23"/>
      <c r="H33" s="26"/>
      <c r="I33" s="26"/>
    </row>
    <row r="34" spans="2:10" ht="15" x14ac:dyDescent="0.4">
      <c r="F34" s="28" t="s">
        <v>70</v>
      </c>
      <c r="G34" s="27"/>
      <c r="H34" s="29" t="s">
        <v>71</v>
      </c>
      <c r="I34" s="11" t="s">
        <v>72</v>
      </c>
      <c r="J34" s="11" t="s">
        <v>73</v>
      </c>
    </row>
    <row r="35" spans="2:10" ht="14.65" x14ac:dyDescent="0.5">
      <c r="F35" s="30" t="s">
        <v>74</v>
      </c>
      <c r="G35" s="31" t="s">
        <v>75</v>
      </c>
      <c r="H35" s="32"/>
      <c r="I35" s="32"/>
      <c r="J35" s="32"/>
    </row>
    <row r="36" spans="2:10" ht="14.65" x14ac:dyDescent="0.5">
      <c r="F36" s="30" t="s">
        <v>76</v>
      </c>
      <c r="G36" s="31" t="s">
        <v>138</v>
      </c>
      <c r="H36" s="32"/>
      <c r="I36" s="32"/>
      <c r="J36" s="32"/>
    </row>
    <row r="37" spans="2:10" ht="14.65" x14ac:dyDescent="0.5">
      <c r="F37" s="30" t="s">
        <v>76</v>
      </c>
      <c r="G37" s="31" t="s">
        <v>147</v>
      </c>
      <c r="H37" s="32"/>
      <c r="I37" s="32"/>
      <c r="J37" s="32"/>
    </row>
    <row r="38" spans="2:10" ht="22.9" x14ac:dyDescent="0.4">
      <c r="B38" s="33" t="s">
        <v>77</v>
      </c>
      <c r="C38" s="34"/>
      <c r="D38" s="35"/>
      <c r="E38" s="35"/>
      <c r="F38" s="34"/>
      <c r="G38" s="34"/>
      <c r="H38" s="34"/>
      <c r="I38" s="36"/>
    </row>
    <row r="39" spans="2:10" ht="15.4" thickBot="1" x14ac:dyDescent="0.45">
      <c r="C39" s="37"/>
      <c r="D39" s="36"/>
      <c r="E39" s="38"/>
      <c r="F39" s="38"/>
      <c r="G39" s="36"/>
      <c r="H39" s="36"/>
      <c r="I39" s="36"/>
    </row>
    <row r="40" spans="2:10" x14ac:dyDescent="0.4">
      <c r="B40" s="39" t="s">
        <v>78</v>
      </c>
      <c r="C40" s="39" t="s">
        <v>79</v>
      </c>
      <c r="D40" s="40" t="s">
        <v>80</v>
      </c>
      <c r="E40" s="40" t="s">
        <v>81</v>
      </c>
      <c r="F40" s="41" t="s">
        <v>82</v>
      </c>
      <c r="G40" s="41" t="s">
        <v>83</v>
      </c>
      <c r="H40" s="40" t="s">
        <v>84</v>
      </c>
      <c r="I40" s="42" t="s">
        <v>85</v>
      </c>
    </row>
    <row r="41" spans="2:10" s="49" customFormat="1" x14ac:dyDescent="0.4">
      <c r="B41" s="43" t="s">
        <v>86</v>
      </c>
      <c r="C41" s="43" t="s">
        <v>87</v>
      </c>
      <c r="D41" s="44"/>
      <c r="E41" s="44"/>
      <c r="F41" s="45"/>
      <c r="G41" s="46"/>
      <c r="H41" s="47" t="e">
        <f t="shared" ref="H41:H55" si="0">D41*F41/12/G41</f>
        <v>#DIV/0!</v>
      </c>
      <c r="I41" s="48"/>
    </row>
    <row r="42" spans="2:10" s="49" customFormat="1" x14ac:dyDescent="0.4">
      <c r="B42" s="43" t="s">
        <v>88</v>
      </c>
      <c r="C42" s="43" t="s">
        <v>89</v>
      </c>
      <c r="D42" s="44"/>
      <c r="E42" s="44"/>
      <c r="F42" s="45"/>
      <c r="G42" s="46"/>
      <c r="H42" s="47" t="e">
        <f>D42*F42/12/G42</f>
        <v>#DIV/0!</v>
      </c>
      <c r="I42" s="48"/>
    </row>
    <row r="43" spans="2:10" s="49" customFormat="1" x14ac:dyDescent="0.4">
      <c r="B43" s="43" t="s">
        <v>88</v>
      </c>
      <c r="C43" s="43" t="s">
        <v>90</v>
      </c>
      <c r="D43" s="44"/>
      <c r="E43" s="44"/>
      <c r="F43" s="45"/>
      <c r="G43" s="46"/>
      <c r="H43" s="47" t="e">
        <f t="shared" si="0"/>
        <v>#DIV/0!</v>
      </c>
      <c r="I43" s="48"/>
    </row>
    <row r="44" spans="2:10" s="49" customFormat="1" x14ac:dyDescent="0.4">
      <c r="B44" s="43" t="s">
        <v>88</v>
      </c>
      <c r="C44" s="43" t="s">
        <v>91</v>
      </c>
      <c r="D44" s="44"/>
      <c r="E44" s="44"/>
      <c r="F44" s="45"/>
      <c r="G44" s="46"/>
      <c r="H44" s="47" t="e">
        <f t="shared" si="0"/>
        <v>#DIV/0!</v>
      </c>
      <c r="I44" s="48"/>
    </row>
    <row r="45" spans="2:10" s="49" customFormat="1" x14ac:dyDescent="0.4">
      <c r="B45" s="43" t="s">
        <v>92</v>
      </c>
      <c r="C45" s="43" t="s">
        <v>93</v>
      </c>
      <c r="D45" s="44"/>
      <c r="E45" s="44"/>
      <c r="F45" s="45"/>
      <c r="G45" s="46"/>
      <c r="H45" s="47" t="e">
        <f t="shared" si="0"/>
        <v>#DIV/0!</v>
      </c>
      <c r="I45" s="48"/>
    </row>
    <row r="46" spans="2:10" s="49" customFormat="1" x14ac:dyDescent="0.4">
      <c r="B46" s="43" t="s">
        <v>92</v>
      </c>
      <c r="C46" s="43" t="s">
        <v>94</v>
      </c>
      <c r="D46" s="44"/>
      <c r="E46" s="44"/>
      <c r="F46" s="45"/>
      <c r="G46" s="46"/>
      <c r="H46" s="47" t="e">
        <f t="shared" si="0"/>
        <v>#DIV/0!</v>
      </c>
      <c r="I46" s="48"/>
    </row>
    <row r="47" spans="2:10" s="49" customFormat="1" x14ac:dyDescent="0.4">
      <c r="B47" s="43" t="s">
        <v>92</v>
      </c>
      <c r="C47" s="43" t="s">
        <v>95</v>
      </c>
      <c r="D47" s="44"/>
      <c r="E47" s="44"/>
      <c r="F47" s="45"/>
      <c r="G47" s="46"/>
      <c r="H47" s="47" t="e">
        <f t="shared" si="0"/>
        <v>#DIV/0!</v>
      </c>
      <c r="I47" s="48"/>
    </row>
    <row r="48" spans="2:10" s="49" customFormat="1" x14ac:dyDescent="0.4">
      <c r="B48" s="43" t="s">
        <v>96</v>
      </c>
      <c r="C48" s="43" t="s">
        <v>97</v>
      </c>
      <c r="D48" s="44"/>
      <c r="E48" s="44"/>
      <c r="F48" s="45"/>
      <c r="G48" s="46"/>
      <c r="H48" s="47" t="e">
        <f t="shared" si="0"/>
        <v>#DIV/0!</v>
      </c>
      <c r="I48" s="48"/>
    </row>
    <row r="49" spans="2:10" s="49" customFormat="1" x14ac:dyDescent="0.4">
      <c r="B49" s="43" t="s">
        <v>96</v>
      </c>
      <c r="C49" s="43" t="s">
        <v>98</v>
      </c>
      <c r="D49" s="44"/>
      <c r="E49" s="44"/>
      <c r="F49" s="45"/>
      <c r="G49" s="46"/>
      <c r="H49" s="47" t="e">
        <f t="shared" si="0"/>
        <v>#DIV/0!</v>
      </c>
      <c r="I49" s="48"/>
    </row>
    <row r="50" spans="2:10" s="49" customFormat="1" x14ac:dyDescent="0.4">
      <c r="B50" s="43" t="s">
        <v>96</v>
      </c>
      <c r="C50" s="43" t="s">
        <v>99</v>
      </c>
      <c r="D50" s="44"/>
      <c r="E50" s="44"/>
      <c r="F50" s="45"/>
      <c r="G50" s="46"/>
      <c r="H50" s="47" t="e">
        <f t="shared" si="0"/>
        <v>#DIV/0!</v>
      </c>
      <c r="I50" s="48"/>
    </row>
    <row r="51" spans="2:10" s="49" customFormat="1" x14ac:dyDescent="0.4">
      <c r="B51" s="43" t="s">
        <v>96</v>
      </c>
      <c r="C51" s="43" t="s">
        <v>100</v>
      </c>
      <c r="D51" s="44"/>
      <c r="E51" s="44"/>
      <c r="F51" s="45"/>
      <c r="G51" s="46"/>
      <c r="H51" s="47" t="e">
        <f t="shared" si="0"/>
        <v>#DIV/0!</v>
      </c>
      <c r="I51" s="48"/>
    </row>
    <row r="52" spans="2:10" s="49" customFormat="1" x14ac:dyDescent="0.4">
      <c r="B52" s="43" t="s">
        <v>96</v>
      </c>
      <c r="C52" s="43" t="s">
        <v>101</v>
      </c>
      <c r="D52" s="44"/>
      <c r="E52" s="44"/>
      <c r="F52" s="45"/>
      <c r="G52" s="46"/>
      <c r="H52" s="47" t="e">
        <f t="shared" si="0"/>
        <v>#DIV/0!</v>
      </c>
      <c r="I52" s="48"/>
    </row>
    <row r="53" spans="2:10" s="49" customFormat="1" x14ac:dyDescent="0.4">
      <c r="B53" s="43" t="s">
        <v>96</v>
      </c>
      <c r="C53" s="43" t="s">
        <v>102</v>
      </c>
      <c r="D53" s="44"/>
      <c r="E53" s="44"/>
      <c r="F53" s="45"/>
      <c r="G53" s="46"/>
      <c r="H53" s="47" t="e">
        <f t="shared" si="0"/>
        <v>#DIV/0!</v>
      </c>
      <c r="I53" s="48"/>
    </row>
    <row r="54" spans="2:10" s="49" customFormat="1" x14ac:dyDescent="0.4">
      <c r="B54" s="43" t="s">
        <v>96</v>
      </c>
      <c r="C54" s="43" t="s">
        <v>103</v>
      </c>
      <c r="D54" s="44"/>
      <c r="E54" s="44"/>
      <c r="F54" s="45"/>
      <c r="G54" s="46"/>
      <c r="H54" s="50" t="e">
        <f t="shared" si="0"/>
        <v>#DIV/0!</v>
      </c>
      <c r="I54" s="51"/>
    </row>
    <row r="55" spans="2:10" s="49" customFormat="1" x14ac:dyDescent="0.4">
      <c r="B55" s="43" t="s">
        <v>104</v>
      </c>
      <c r="C55" s="43" t="s">
        <v>104</v>
      </c>
      <c r="D55" s="44"/>
      <c r="E55" s="44"/>
      <c r="F55" s="45"/>
      <c r="G55" s="46"/>
      <c r="H55" s="50" t="e">
        <f t="shared" si="0"/>
        <v>#DIV/0!</v>
      </c>
      <c r="I55" s="51"/>
    </row>
    <row r="56" spans="2:10" ht="14.25" thickBot="1" x14ac:dyDescent="0.45">
      <c r="B56" s="111" t="s">
        <v>105</v>
      </c>
      <c r="C56" s="111"/>
      <c r="D56" s="52"/>
      <c r="E56" s="52"/>
      <c r="F56" s="53"/>
      <c r="G56" s="54"/>
      <c r="H56" s="55" t="e">
        <f>SUM(H41:H54)</f>
        <v>#DIV/0!</v>
      </c>
      <c r="I56" s="56"/>
    </row>
    <row r="57" spans="2:10" x14ac:dyDescent="0.4">
      <c r="B57" s="57"/>
      <c r="C57" s="34"/>
      <c r="D57" s="35"/>
      <c r="E57" s="35"/>
      <c r="F57" s="34"/>
      <c r="G57" s="34"/>
      <c r="H57" s="34"/>
      <c r="I57" s="34"/>
    </row>
    <row r="58" spans="2:10" ht="22.9" x14ac:dyDescent="0.4">
      <c r="B58" s="33" t="s">
        <v>106</v>
      </c>
      <c r="C58" s="36"/>
      <c r="D58" s="38"/>
      <c r="E58" s="58"/>
      <c r="F58" s="59"/>
      <c r="G58" s="59"/>
      <c r="H58" s="59"/>
      <c r="I58" s="59"/>
    </row>
    <row r="59" spans="2:10" ht="15.4" thickBot="1" x14ac:dyDescent="0.55000000000000004">
      <c r="B59" s="60"/>
      <c r="C59" s="36"/>
      <c r="D59" s="38"/>
      <c r="E59" s="58"/>
      <c r="F59" s="59"/>
      <c r="G59" s="59"/>
      <c r="H59" s="59"/>
      <c r="I59" s="59"/>
    </row>
    <row r="60" spans="2:10" ht="14.65" x14ac:dyDescent="0.4">
      <c r="B60" s="112" t="s">
        <v>107</v>
      </c>
      <c r="C60" s="113"/>
      <c r="D60" s="113"/>
      <c r="E60" s="113"/>
      <c r="F60" s="113"/>
      <c r="G60" s="113"/>
      <c r="H60" s="113"/>
      <c r="I60" s="113"/>
      <c r="J60" s="113"/>
    </row>
    <row r="61" spans="2:10" ht="29.25" x14ac:dyDescent="0.4">
      <c r="B61" s="61" t="s">
        <v>108</v>
      </c>
      <c r="C61" s="62" t="s">
        <v>109</v>
      </c>
      <c r="D61" s="62" t="s">
        <v>110</v>
      </c>
      <c r="E61" s="62" t="s">
        <v>111</v>
      </c>
      <c r="F61" s="62" t="s">
        <v>112</v>
      </c>
      <c r="G61" s="63" t="s">
        <v>113</v>
      </c>
      <c r="H61" s="62" t="s">
        <v>114</v>
      </c>
      <c r="I61" s="64" t="s">
        <v>115</v>
      </c>
      <c r="J61" s="65" t="s">
        <v>116</v>
      </c>
    </row>
    <row r="62" spans="2:10" ht="83.25" x14ac:dyDescent="0.4">
      <c r="B62" s="66" t="s">
        <v>117</v>
      </c>
      <c r="C62" s="67" t="s">
        <v>118</v>
      </c>
      <c r="D62" s="67" t="s">
        <v>118</v>
      </c>
      <c r="E62" s="68" t="s">
        <v>119</v>
      </c>
      <c r="F62" s="67" t="s">
        <v>120</v>
      </c>
      <c r="G62" s="69" t="s">
        <v>121</v>
      </c>
      <c r="H62" s="68" t="s">
        <v>122</v>
      </c>
      <c r="I62" s="68" t="s">
        <v>123</v>
      </c>
      <c r="J62" s="70" t="s">
        <v>124</v>
      </c>
    </row>
    <row r="63" spans="2:10" ht="14.65" x14ac:dyDescent="0.4">
      <c r="B63" s="71"/>
      <c r="C63" s="72"/>
      <c r="D63" s="72"/>
      <c r="E63" s="73"/>
      <c r="F63" s="72"/>
      <c r="G63" s="74"/>
      <c r="H63" s="73"/>
      <c r="I63" s="75"/>
      <c r="J63" s="76"/>
    </row>
    <row r="64" spans="2:10" ht="14.65" x14ac:dyDescent="0.4">
      <c r="B64" s="71"/>
      <c r="C64" s="72"/>
      <c r="D64" s="72"/>
      <c r="E64" s="73"/>
      <c r="F64" s="72"/>
      <c r="G64" s="74"/>
      <c r="H64" s="73"/>
      <c r="I64" s="75"/>
      <c r="J64" s="76"/>
    </row>
    <row r="65" spans="2:10" ht="14.65" x14ac:dyDescent="0.4">
      <c r="B65" s="71"/>
      <c r="C65" s="72"/>
      <c r="D65" s="72"/>
      <c r="E65" s="73"/>
      <c r="F65" s="72"/>
      <c r="G65" s="74"/>
      <c r="H65" s="73"/>
      <c r="I65" s="75"/>
      <c r="J65" s="76"/>
    </row>
    <row r="66" spans="2:10" ht="14.65" x14ac:dyDescent="0.4">
      <c r="B66" s="71"/>
      <c r="C66" s="72"/>
      <c r="D66" s="72"/>
      <c r="E66" s="73"/>
      <c r="F66" s="72"/>
      <c r="G66" s="74"/>
      <c r="H66" s="73"/>
      <c r="I66" s="75"/>
      <c r="J66" s="76"/>
    </row>
    <row r="67" spans="2:10" ht="14.65" x14ac:dyDescent="0.4">
      <c r="B67" s="71"/>
      <c r="C67" s="72"/>
      <c r="D67" s="72"/>
      <c r="E67" s="73"/>
      <c r="F67" s="72"/>
      <c r="G67" s="74"/>
      <c r="H67" s="73"/>
      <c r="I67" s="75"/>
      <c r="J67" s="76"/>
    </row>
    <row r="68" spans="2:10" ht="14.65" x14ac:dyDescent="0.4">
      <c r="B68" s="71"/>
      <c r="C68" s="72"/>
      <c r="D68" s="72"/>
      <c r="E68" s="73"/>
      <c r="F68" s="72"/>
      <c r="G68" s="74"/>
      <c r="H68" s="73"/>
      <c r="I68" s="75"/>
      <c r="J68" s="76"/>
    </row>
    <row r="69" spans="2:10" ht="14.65" x14ac:dyDescent="0.4">
      <c r="B69" s="71"/>
      <c r="C69" s="72"/>
      <c r="D69" s="72"/>
      <c r="E69" s="73"/>
      <c r="F69" s="72"/>
      <c r="G69" s="74"/>
      <c r="H69" s="73"/>
      <c r="I69" s="75"/>
      <c r="J69" s="76"/>
    </row>
    <row r="70" spans="2:10" ht="15" thickBot="1" x14ac:dyDescent="0.45">
      <c r="B70" s="77" t="s">
        <v>105</v>
      </c>
      <c r="C70" s="78">
        <f>SUM(C63:C69)</f>
        <v>0</v>
      </c>
      <c r="D70" s="78"/>
      <c r="E70" s="79"/>
      <c r="F70" s="80"/>
      <c r="G70" s="80"/>
      <c r="H70" s="79" t="e">
        <f>I70/C70</f>
        <v>#DIV/0!</v>
      </c>
      <c r="I70" s="79">
        <f>SUM(I63:I69)</f>
        <v>0</v>
      </c>
      <c r="J70" s="81">
        <f>SUM(J63:J69)</f>
        <v>0</v>
      </c>
    </row>
    <row r="71" spans="2:10" x14ac:dyDescent="0.4">
      <c r="G71" s="82"/>
      <c r="H71" s="83"/>
    </row>
    <row r="72" spans="2:10" x14ac:dyDescent="0.4">
      <c r="G72" s="84"/>
      <c r="H72" s="83"/>
    </row>
    <row r="73" spans="2:10" ht="22.9" x14ac:dyDescent="0.4">
      <c r="B73" s="33" t="s">
        <v>125</v>
      </c>
    </row>
    <row r="75" spans="2:10" ht="14.65" x14ac:dyDescent="0.4">
      <c r="B75" s="114" t="s">
        <v>126</v>
      </c>
      <c r="C75" s="115"/>
      <c r="D75" s="62" t="s">
        <v>127</v>
      </c>
      <c r="E75" s="62" t="s">
        <v>128</v>
      </c>
    </row>
    <row r="76" spans="2:10" x14ac:dyDescent="0.4">
      <c r="B76" s="102" t="s">
        <v>129</v>
      </c>
      <c r="C76" s="85" t="s">
        <v>130</v>
      </c>
      <c r="D76" s="85"/>
      <c r="E76" s="86"/>
    </row>
    <row r="77" spans="2:10" ht="14.65" x14ac:dyDescent="0.4">
      <c r="B77" s="102"/>
      <c r="C77" s="87" t="s">
        <v>131</v>
      </c>
      <c r="D77" s="87"/>
      <c r="E77" s="88"/>
    </row>
    <row r="78" spans="2:10" x14ac:dyDescent="0.4">
      <c r="B78" s="102"/>
      <c r="C78" s="85" t="s">
        <v>132</v>
      </c>
      <c r="D78" s="85"/>
      <c r="E78" s="86"/>
    </row>
    <row r="79" spans="2:10" ht="14.65" x14ac:dyDescent="0.4">
      <c r="B79" s="102"/>
      <c r="C79" s="87" t="s">
        <v>133</v>
      </c>
      <c r="D79" s="87"/>
      <c r="E79" s="88"/>
    </row>
    <row r="80" spans="2:10" x14ac:dyDescent="0.4">
      <c r="B80" s="102"/>
      <c r="C80" s="85" t="s">
        <v>134</v>
      </c>
      <c r="D80" s="85"/>
      <c r="E80" s="86"/>
    </row>
    <row r="81" spans="2:5" x14ac:dyDescent="0.4">
      <c r="B81" s="116" t="s">
        <v>135</v>
      </c>
      <c r="C81" s="116"/>
      <c r="D81" s="85"/>
      <c r="E81" s="86"/>
    </row>
    <row r="82" spans="2:5" x14ac:dyDescent="0.4">
      <c r="B82" s="117" t="s">
        <v>136</v>
      </c>
      <c r="C82" s="117"/>
      <c r="D82" s="118"/>
      <c r="E82" s="119"/>
    </row>
    <row r="83" spans="2:5" x14ac:dyDescent="0.4">
      <c r="B83" s="105" t="s">
        <v>137</v>
      </c>
      <c r="C83" s="105"/>
      <c r="D83" s="106"/>
      <c r="E83" s="107"/>
    </row>
  </sheetData>
  <mergeCells count="19">
    <mergeCell ref="B83:C83"/>
    <mergeCell ref="D83:E83"/>
    <mergeCell ref="B20:B23"/>
    <mergeCell ref="C20:C23"/>
    <mergeCell ref="B24:B26"/>
    <mergeCell ref="C24:C26"/>
    <mergeCell ref="B56:C56"/>
    <mergeCell ref="B60:J60"/>
    <mergeCell ref="B75:C75"/>
    <mergeCell ref="B76:B80"/>
    <mergeCell ref="B81:C81"/>
    <mergeCell ref="B82:C82"/>
    <mergeCell ref="D82:E82"/>
    <mergeCell ref="B1:J1"/>
    <mergeCell ref="B4:B19"/>
    <mergeCell ref="C4:C19"/>
    <mergeCell ref="D6:D8"/>
    <mergeCell ref="D9:D12"/>
    <mergeCell ref="D13:D18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0项目计划</vt:lpstr>
      <vt:lpstr>1仓储结算场景及报价</vt:lpstr>
      <vt:lpstr>2 仓投入明细表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rancho</dc:creator>
  <cp:lastModifiedBy>kristen zhang</cp:lastModifiedBy>
  <dcterms:created xsi:type="dcterms:W3CDTF">2015-06-05T18:17:00Z</dcterms:created>
  <dcterms:modified xsi:type="dcterms:W3CDTF">2026-08-24T07:29:52Z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29CCCD64265743ED856FE22C5350F578_13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